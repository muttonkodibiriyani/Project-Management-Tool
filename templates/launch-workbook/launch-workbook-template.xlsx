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9.xml" ContentType="application/vnd.openxmlformats-officedocument.spreadsheetml.worksheet+xml"/>
  <Override PartName="/xl/tables/table1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Brands" sheetId="3" state="visible" r:id="rId3"/>
    <sheet xmlns:r="http://schemas.openxmlformats.org/officeDocument/2006/relationships" name="Distribution by market" sheetId="4" state="visible" r:id="rId4"/>
    <sheet xmlns:r="http://schemas.openxmlformats.org/officeDocument/2006/relationships" name="Vendors &amp; contacts" sheetId="5" state="visible" r:id="rId5"/>
    <sheet xmlns:r="http://schemas.openxmlformats.org/officeDocument/2006/relationships" name="Stores &amp; capacity" sheetId="6" state="visible" r:id="rId6"/>
    <sheet xmlns:r="http://schemas.openxmlformats.org/officeDocument/2006/relationships" name="Installs &amp; deliveries" sheetId="7" state="visible" r:id="rId7"/>
    <sheet xmlns:r="http://schemas.openxmlformats.org/officeDocument/2006/relationships" name="Market visits" sheetId="8" state="visible" r:id="rId8"/>
    <sheet xmlns:r="http://schemas.openxmlformats.org/officeDocument/2006/relationships" name="US NPD &amp; replenishment" sheetId="9" state="visible" r:id="rId9"/>
    <sheet xmlns:r="http://schemas.openxmlformats.org/officeDocument/2006/relationships" name="Dashboard" sheetId="10" state="visible" r:id="rId10"/>
    <sheet xmlns:r="http://schemas.openxmlformats.org/officeDocument/2006/relationships" name="Lists" sheetId="11" state="visible" r:id="rId11"/>
  </sheets>
  <definedNames>
    <definedName name="lst_YesNo">tblList_YesNo[YesNo]</definedName>
    <definedName name="lst_YesNoTBC">tblList_YesNoTBC[YesNoTBC]</definedName>
    <definedName name="lst_Market">tblList_Market[Market]</definedName>
    <definedName name="lst_MainCategory">tblList_MainCategory[MainCategory]</definedName>
    <definedName name="lst_Zone">tblList_Zone[Zone]</definedName>
    <definedName name="lst_BrandCode">tblList_BrandCode[BrandCode]</definedName>
    <definedName name="lst_Origin">tblList_Origin[Origin]</definedName>
    <definedName name="lst_MarketStatus">tblList_MarketStatus[MarketStatus]</definedName>
    <definedName name="lst_InternalCategory">tblList_InternalCategory[InternalCategory]</definedName>
    <definedName name="lst_MarketingOK">tblList_MarketingOK[MarketingOK]</definedName>
    <definedName name="lst_Exclusivity">tblList_Exclusivity[Exclusivity]</definedName>
    <definedName name="lst_Listing">tblList_Listing[Listing]</definedName>
    <definedName name="lst_AtLaunch">tblList_AtLaunch[AtLaunch]</definedName>
    <definedName name="lst_Comms">tblList_Comms[Comms]</definedName>
    <definedName name="lst_FloorPlan">tblList_FloorPlan[FloorPlan]</definedName>
    <definedName name="lst_FixtureType">tblList_FixtureType[FixtureType]</definedName>
    <definedName name="lst_PO">tblList_PO[PO]</definedName>
    <definedName name="lst_VPA">tblList_VPA[VPA]</definedName>
    <definedName name="lst_Registration">tblList_Registration[Registration]</definedName>
    <definedName name="lst_Quarter">tblList_Quarter[Quarter]</definedName>
    <definedName name="lst_ProjectComms">tblList_ProjectComms[ProjectComms]</definedName>
    <definedName name="lst_Schematics">tblList_Schematics[Schematics]</definedName>
    <definedName name="lst_VendorRoute">tblList_VendorRoute[VendorRoute]</definedName>
    <definedName name="lst_VendorState">tblList_VendorState[VendorState]</definedName>
    <definedName name="lst_ICF">tblList_ICF[ICF]</definedName>
    <definedName name="lst_SupplierForm">tblList_SupplierForm[SupplierForm]</definedName>
    <definedName name="lst_AccountForm">tblList_AccountForm[AccountForm]</definedName>
    <definedName name="lst_OrderShared">tblList_OrderShared[OrderShared]</definedName>
    <definedName name="lst_DistStatus">tblList_DistStatus[DistStatus]</definedName>
    <definedName name="lst_RegRoute">tblList_RegRoute[RegRoute]</definedName>
    <definedName name="lst_InstallStatus">tblList_InstallStatus[InstallStatus]</definedName>
    <definedName name="lst_DeliveryStatus">tblList_DeliveryStatus[DeliveryStatus]</definedName>
    <definedName name="lst_VMStatus">tblList_VMStatus[VMStatus]</definedName>
    <definedName name="lst_NPDType">tblList_NPDType[NPDType]</definedName>
    <definedName name="lst_StoreRole">tblList_StoreRole[StoreRole]</definedName>
    <definedName name="lst_Store">tblStores[Code]</definedName>
    <definedName name="lst_Launch">tblLaunches[Launch]</definedName>
    <definedName name="lst_BrandTeam">tblBrandTeams[Brand team]</definedName>
    <definedName name="lst_Brand">tblBrands[Brand]</definedName>
    <definedName name="lst_Vendor">tblVendors[Vendor]</definedName>
    <definedName name="lst_StoreOrMarket">tblStores[Code]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6100"/>
    </font>
  </fonts>
  <fills count="19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F8CBAD"/>
        <bgColor rgb="00F8CBAD"/>
      </patternFill>
    </fill>
    <fill>
      <patternFill patternType="solid">
        <fgColor rgb="00BDD7EE"/>
        <bgColor rgb="00BDD7EE"/>
      </patternFill>
    </fill>
    <fill>
      <patternFill patternType="solid">
        <fgColor rgb="00D5A6BD"/>
        <bgColor rgb="00D5A6BD"/>
      </patternFill>
    </fill>
    <fill>
      <patternFill patternType="solid">
        <fgColor rgb="00B4A7D6"/>
        <bgColor rgb="00B4A7D6"/>
      </patternFill>
    </fill>
    <fill>
      <patternFill patternType="solid">
        <fgColor rgb="00A9D18E"/>
        <bgColor rgb="00A9D18E"/>
      </patternFill>
    </fill>
    <fill>
      <patternFill patternType="solid">
        <fgColor rgb="00FFE699"/>
        <bgColor rgb="00FFE699"/>
      </patternFill>
    </fill>
    <fill>
      <patternFill patternType="solid">
        <fgColor rgb="00C9C9C9"/>
        <bgColor rgb="00C9C9C9"/>
      </patternFill>
    </fill>
    <fill>
      <patternFill patternType="solid">
        <fgColor rgb="00C5E0B4"/>
        <bgColor rgb="00C5E0B4"/>
      </patternFill>
    </fill>
    <fill>
      <patternFill patternType="solid">
        <fgColor rgb="00E4D2F7"/>
        <bgColor rgb="00E4D2F7"/>
      </patternFill>
    </fill>
    <fill>
      <patternFill patternType="solid">
        <fgColor rgb="00CFE2F3"/>
        <bgColor rgb="00CFE2F3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D9D9D9"/>
        <bgColor rgb="00D9D9D9"/>
      </patternFill>
    </fill>
    <fill>
      <patternFill patternType="solid">
        <fgColor rgb="00FCE5CD"/>
        <bgColor rgb="00FCE5CD"/>
      </patternFill>
    </fill>
    <fill>
      <patternFill patternType="solid">
        <fgColor rgb="00EAD1DC"/>
        <bgColor rgb="00EAD1DC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E4D2F7"/>
          <bgColor rgb="00E4D2F7"/>
        </patternFill>
      </fill>
    </dxf>
    <dxf>
      <fill>
        <patternFill patternType="solid">
          <fgColor rgb="00CFE2F3"/>
          <bgColor rgb="00CFE2F3"/>
        </patternFill>
      </fill>
    </dxf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FCE5CD"/>
          <bgColor rgb="00FCE5CD"/>
        </patternFill>
      </fill>
    </dxf>
    <dxf>
      <fill>
        <patternFill patternType="solid">
          <fgColor rgb="00EAD1DC"/>
          <bgColor rgb="00EAD1D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blLines" displayName="tblLines" ref="A4:BR5" headerRowCount="1">
  <autoFilter ref="A4:BR5"/>
  <tableColumns count="70">
    <tableColumn id="1" name="Line ID"/>
    <tableColumn id="2" name="Launch"/>
    <tableColumn id="3" name="Main category"/>
    <tableColumn id="4" name="Zone"/>
    <tableColumn id="5" name="Sub-zone"/>
    <tableColumn id="6" name="Area"/>
    <tableColumn id="7" name="Brand team"/>
    <tableColumn id="8" name="Follow-up owner"/>
    <tableColumn id="9" name="Host group"/>
    <tableColumn id="10" name="Brand code"/>
    <tableColumn id="11" name="Double placement"/>
    <tableColumn id="12" name="Brand"/>
    <tableColumn id="13" name="External key"/>
    <tableColumn id="14" name="From"/>
    <tableColumn id="15" name="Market status"/>
    <tableColumn id="16" name="Internal category"/>
    <tableColumn id="17" name="The 80 brands"/>
    <tableColumn id="18" name="Marketing OK"/>
    <tableColumn id="19" name="Penetration plan"/>
    <tableColumn id="20" name="Penetration UAE all regions"/>
    <tableColumn id="21" name="Penetration UAE actual"/>
    <tableColumn id="22" name="Penetration plan MOE"/>
    <tableColumn id="23" name="Penetration notes"/>
    <tableColumn id="24" name="Store 1"/>
    <tableColumn id="25" name="S1 Listing"/>
    <tableColumn id="26" name="S1 At launch"/>
    <tableColumn id="27" name="S1 At launch recheck"/>
    <tableColumn id="28" name="S1 Comms"/>
    <tableColumn id="29" name="S1 Floor plan"/>
    <tableColumn id="30" name="S1 Fixture as written"/>
    <tableColumn id="31" name="S1 Fixture type"/>
    <tableColumn id="32" name="S1 Width ft"/>
    <tableColumn id="33" name="S1 Shelves"/>
    <tableColumn id="34" name="S1 Temporary"/>
    <tableColumn id="35" name="S1 PO"/>
    <tableColumn id="36" name="Store 2"/>
    <tableColumn id="37" name="S2 Listing"/>
    <tableColumn id="38" name="S2 At launch"/>
    <tableColumn id="39" name="S2 At launch recheck"/>
    <tableColumn id="40" name="S2 Comms"/>
    <tableColumn id="41" name="S2 Floor plan"/>
    <tableColumn id="42" name="S2 Fixture as written"/>
    <tableColumn id="43" name="S2 Fixture type"/>
    <tableColumn id="44" name="S2 Width ft"/>
    <tableColumn id="45" name="S2 Shelves"/>
    <tableColumn id="46" name="S2 Temporary"/>
    <tableColumn id="47" name="S2 PO"/>
    <tableColumn id="48" name="VPA status"/>
    <tableColumn id="49" name="VPA shared"/>
    <tableColumn id="50" name="VPA countersigned"/>
    <tableColumn id="51" name="VPA signed"/>
    <tableColumn id="52" name="Data set-up"/>
    <tableColumn id="53" name="Data set-up quarter"/>
    <tableColumn id="54" name="Project comms"/>
    <tableColumn id="55" name="Schematics"/>
    <tableColumn id="56" name="Schematics same as"/>
    <tableColumn id="57" name="Vendor set-up route"/>
    <tableColumn id="58" name="Vendor set-up state"/>
    <tableColumn id="59" name="Vendor set-up note"/>
    <tableColumn id="60" name="ICF"/>
    <tableColumn id="61" name="Supplier opening form"/>
    <tableColumn id="62" name="Account opening form"/>
    <tableColumn id="63" name="Order shared"/>
    <tableColumn id="64" name="Feedback supplier creation"/>
    <tableColumn id="65" name="Feedback ICF"/>
    <tableColumn id="66" name="Feedback schematics"/>
    <tableColumn id="67" name="Comments"/>
    <tableColumn id="68" name="Added comments"/>
    <tableColumn id="69" name="Notes"/>
    <tableColumn id="70" name="Source"/>
  </tableColumns>
  <tableStyleInfo name="TableStyleLight1" showRowStripes="1"/>
</table>
</file>

<file path=xl/tables/table2.xml><?xml version="1.0" encoding="utf-8"?>
<table xmlns="http://schemas.openxmlformats.org/spreadsheetml/2006/main" id="2" name="tblBrands" displayName="tblBrands" ref="A4:G5" headerRowCount="1">
  <autoFilter ref="A4:G5"/>
  <tableColumns count="7">
    <tableColumn id="1" name="Brand"/>
    <tableColumn id="2" name="Host group"/>
    <tableColumn id="3" name="Lines"/>
    <tableColumn id="4" name="New brand"/>
    <tableColumn id="5" name="New brand category"/>
    <tableColumn id="6" name="New brand as written"/>
    <tableColumn id="7" name="Source"/>
  </tableColumns>
  <tableStyleInfo name="TableStyleLight1" showRowStripes="1"/>
</table>
</file>

<file path=xl/tables/table3.xml><?xml version="1.0" encoding="utf-8"?>
<table xmlns="http://schemas.openxmlformats.org/spreadsheetml/2006/main" id="3" name="tblDistribution" displayName="tblDistribution" ref="A4:P5" headerRowCount="1">
  <autoFilter ref="A4:P5"/>
  <tableColumns count="16">
    <tableColumn id="1" name="Line ID"/>
    <tableColumn id="2" name="Brand"/>
    <tableColumn id="3" name="Market"/>
    <tableColumn id="4" name="Distribution status"/>
    <tableColumn id="5" name="Distributor"/>
    <tableColumn id="6" name="Distributor as written"/>
    <tableColumn id="7" name="Contacts as written"/>
    <tableColumn id="8" name="Margin"/>
    <tableColumn id="9" name="Extra margin"/>
    <tableColumn id="10" name="Margin terms"/>
    <tableColumn id="11" name="Margin as written"/>
    <tableColumn id="12" name="Exclusive"/>
    <tableColumn id="13" name="Exclusive months"/>
    <tableColumn id="14" name="Registration route"/>
    <tableColumn id="15" name="Notes"/>
    <tableColumn id="16" name="Source"/>
  </tableColumns>
  <tableStyleInfo name="TableStyleLight1" showRowStripes="1"/>
</table>
</file>

<file path=xl/tables/table4.xml><?xml version="1.0" encoding="utf-8"?>
<table xmlns="http://schemas.openxmlformats.org/spreadsheetml/2006/main" id="4" name="tblVendors" displayName="tblVendors" ref="A4:D5" headerRowCount="1">
  <autoFilter ref="A4:D5"/>
  <tableColumns count="4">
    <tableColumn id="1" name="Vendor"/>
    <tableColumn id="2" name="Aliases as written"/>
    <tableColumn id="3" name="Markets"/>
    <tableColumn id="4" name="Lines"/>
  </tableColumns>
  <tableStyleInfo name="TableStyleLight1" showRowStripes="1"/>
</table>
</file>

<file path=xl/tables/table5.xml><?xml version="1.0" encoding="utf-8"?>
<table xmlns="http://schemas.openxmlformats.org/spreadsheetml/2006/main" id="5" name="tblContacts" displayName="tblContacts" ref="F4:J5" headerRowCount="1">
  <autoFilter ref="F4:J5"/>
  <tableColumns count="5">
    <tableColumn id="6" name="Vendor"/>
    <tableColumn id="7" name="Market"/>
    <tableColumn id="8" name="Contact as written"/>
    <tableColumn id="9" name="Emails"/>
    <tableColumn id="10" name="Lines"/>
  </tableColumns>
  <tableStyleInfo name="TableStyleLight1" showRowStripes="1"/>
</table>
</file>

<file path=xl/tables/table6.xml><?xml version="1.0" encoding="utf-8"?>
<table xmlns="http://schemas.openxmlformats.org/spreadsheetml/2006/main" id="6" name="tblVendorPacks" displayName="tblVendorPacks" ref="L4:T5" headerRowCount="1">
  <autoFilter ref="L4:T5"/>
  <tableColumns count="9">
    <tableColumn id="12" name="Vendor"/>
    <tableColumn id="13" name="Brand"/>
    <tableColumn id="14" name="Category"/>
    <tableColumn id="15" name="Store 1 fixture"/>
    <tableColumn id="16" name="Store 2 fixture"/>
    <tableColumn id="17" name="Vendor pack"/>
    <tableColumn id="18" name="Fixture reference"/>
    <tableColumn id="19" name="Shelves note"/>
    <tableColumn id="20" name="Source"/>
  </tableColumns>
  <tableStyleInfo name="TableStyleLight1" showRowStripes="1"/>
</table>
</file>

<file path=xl/tables/table7.xml><?xml version="1.0" encoding="utf-8"?>
<table xmlns="http://schemas.openxmlformats.org/spreadsheetml/2006/main" id="7" name="tblBrandLists" displayName="tblBrandLists" ref="V4:AA5" headerRowCount="1">
  <autoFilter ref="V4:AA5"/>
  <tableColumns count="6">
    <tableColumn id="22" name="List"/>
    <tableColumn id="23" name="Entry"/>
    <tableColumn id="24" name="Vendor"/>
    <tableColumn id="25" name="Category"/>
    <tableColumn id="26" name="Fixture"/>
    <tableColumn id="27" name="Source"/>
  </tableColumns>
  <tableStyleInfo name="TableStyleLight1" showRowStripes="1"/>
</table>
</file>

<file path=xl/tables/table8.xml><?xml version="1.0" encoding="utf-8"?>
<table xmlns="http://schemas.openxmlformats.org/spreadsheetml/2006/main" id="8" name="tblLaunches" displayName="tblLaunches" ref="A4:D5" headerRowCount="1">
  <autoFilter ref="A4:D5"/>
  <tableColumns count="4">
    <tableColumn id="1" name="Launch"/>
    <tableColumn id="2" name="Market"/>
    <tableColumn id="3" name="Stores"/>
    <tableColumn id="4" name="Description"/>
  </tableColumns>
  <tableStyleInfo name="TableStyleLight1" showRowStripes="1"/>
</table>
</file>

<file path=xl/tables/table9.xml><?xml version="1.0" encoding="utf-8"?>
<table xmlns="http://schemas.openxmlformats.org/spreadsheetml/2006/main" id="9" name="tblStores" displayName="tblStores" ref="F4:L5" headerRowCount="1">
  <autoFilter ref="F4:L5"/>
  <tableColumns count="7">
    <tableColumn id="6" name="Code"/>
    <tableColumn id="7" name="Name"/>
    <tableColumn id="8" name="Market"/>
    <tableColumn id="9" name="Role"/>
    <tableColumn id="10" name="Opening"/>
    <tableColumn id="11" name="Opening note"/>
    <tableColumn id="12" name="Aliases"/>
  </tableColumns>
  <tableStyleInfo name="TableStyleLight1" showRowStripes="1"/>
</table>
</file>

<file path=xl/tables/table10.xml><?xml version="1.0" encoding="utf-8"?>
<table xmlns="http://schemas.openxmlformats.org/spreadsheetml/2006/main" id="10" name="tblCapacity" displayName="tblCapacity" ref="N4:R5" headerRowCount="1">
  <autoFilter ref="N4:R5"/>
  <tableColumns count="5">
    <tableColumn id="14" name="Store"/>
    <tableColumn id="15" name="Category"/>
    <tableColumn id="16" name="Fixture type"/>
    <tableColumn id="17" name="Count"/>
    <tableColumn id="18" name="Source"/>
  </tableColumns>
  <tableStyleInfo name="TableStyleLight1" showRowStripes="1"/>
</table>
</file>

<file path=xl/tables/table11.xml><?xml version="1.0" encoding="utf-8"?>
<table xmlns="http://schemas.openxmlformats.org/spreadsheetml/2006/main" id="11" name="tblRefFixtures" displayName="tblRefFixtures" ref="T4:AB5" headerRowCount="1">
  <autoFilter ref="T4:AB5"/>
  <tableColumns count="9">
    <tableColumn id="20" name="Line ID"/>
    <tableColumn id="21" name="Brand"/>
    <tableColumn id="22" name="Store"/>
    <tableColumn id="23" name="Fixture as written"/>
    <tableColumn id="24" name="Fixture type"/>
    <tableColumn id="25" name="Width ft"/>
    <tableColumn id="26" name="Shelves"/>
    <tableColumn id="27" name="Temporary"/>
    <tableColumn id="28" name="Source"/>
  </tableColumns>
  <tableStyleInfo name="TableStyleLight1" showRowStripes="1"/>
</table>
</file>

<file path=xl/tables/table12.xml><?xml version="1.0" encoding="utf-8"?>
<table xmlns="http://schemas.openxmlformats.org/spreadsheetml/2006/main" id="12" name="tblInstalls" displayName="tblInstalls" ref="A4:V5" headerRowCount="1">
  <autoFilter ref="A4:V5"/>
  <tableColumns count="22">
    <tableColumn id="1" name="Line ID"/>
    <tableColumn id="2" name="Store"/>
    <tableColumn id="3" name="Host group"/>
    <tableColumn id="4" name="Vendor"/>
    <tableColumn id="5" name="Vendor as written"/>
    <tableColumn id="6" name="Brand"/>
    <tableColumn id="7" name="Zone as written"/>
    <tableColumn id="8" name="Fixture as written"/>
    <tableColumn id="9" name="Same fixture as"/>
    <tableColumn id="10" name="Vendor pack"/>
    <tableColumn id="11" name="Install start"/>
    <tableColumn id="12" name="Install end"/>
    <tableColumn id="13" name="Install status"/>
    <tableColumn id="14" name="Contractor"/>
    <tableColumn id="15" name="Delivery date"/>
    <tableColumn id="16" name="Delivery status"/>
    <tableColumn id="17" name="VM status"/>
    <tableColumn id="18" name="Wall perimeter"/>
    <tableColumn id="19" name="Email sent"/>
    <tableColumn id="20" name="Email sent by"/>
    <tableColumn id="21" name="Notes"/>
    <tableColumn id="22" name="Source"/>
  </tableColumns>
  <tableStyleInfo name="TableStyleLight1" showRowStripes="1"/>
</table>
</file>

<file path=xl/tables/table13.xml><?xml version="1.0" encoding="utf-8"?>
<table xmlns="http://schemas.openxmlformats.org/spreadsheetml/2006/main" id="13" name="tblAgenda" displayName="tblAgenda" ref="A4:G5" headerRowCount="1">
  <autoFilter ref="A4:G5"/>
  <tableColumns count="7">
    <tableColumn id="1" name="Visit"/>
    <tableColumn id="2" name="Day as written"/>
    <tableColumn id="3" name="Date"/>
    <tableColumn id="4" name="Person"/>
    <tableColumn id="5" name="Time"/>
    <tableColumn id="6" name="Activity"/>
    <tableColumn id="7" name="Source"/>
  </tableColumns>
  <tableStyleInfo name="TableStyleLight1" showRowStripes="1"/>
</table>
</file>

<file path=xl/tables/table14.xml><?xml version="1.0" encoding="utf-8"?>
<table xmlns="http://schemas.openxmlformats.org/spreadsheetml/2006/main" id="14" name="tblVisitBrands" displayName="tblVisitBrands" ref="I4:M5" headerRowCount="1">
  <autoFilter ref="I4:M5"/>
  <tableColumns count="5">
    <tableColumn id="9" name="Visit"/>
    <tableColumn id="10" name="Vendor"/>
    <tableColumn id="11" name="Brand"/>
    <tableColumn id="12" name="Category"/>
    <tableColumn id="13" name="Source"/>
  </tableColumns>
  <tableStyleInfo name="TableStyleLight1" showRowStripes="1"/>
</table>
</file>

<file path=xl/tables/table15.xml><?xml version="1.0" encoding="utf-8"?>
<table xmlns="http://schemas.openxmlformats.org/spreadsheetml/2006/main" id="15" name="tblNPD" displayName="tblNPD" ref="A4:J5" headerRowCount="1">
  <autoFilter ref="A4:J5"/>
  <tableColumns count="10">
    <tableColumn id="1" name="Type"/>
    <tableColumn id="2" name="Brand"/>
    <tableColumn id="3" name="NPD or focus"/>
    <tableColumn id="4" name="Sizing sent"/>
    <tableColumn id="5" name="Picked up from US DC"/>
    <tableColumn id="6" name="ETA UAE"/>
    <tableColumn id="7" name="ETA KWT"/>
    <tableColumn id="8" name="ETA KSA"/>
    <tableColumn id="9" name="ETA QAT"/>
    <tableColumn id="10" name="Source"/>
  </tableColumns>
  <tableStyleInfo name="TableStyleLight1" showRowStripes="1"/>
</table>
</file>

<file path=xl/tables/table16.xml><?xml version="1.0" encoding="utf-8"?>
<table xmlns="http://schemas.openxmlformats.org/spreadsheetml/2006/main" id="16" name="tblList_YesNo" displayName="tblList_YesNo" ref="A4:A6" headerRowCount="1">
  <autoFilter ref="A4:A6"/>
  <tableColumns count="1">
    <tableColumn id="1" name="YesNo"/>
  </tableColumns>
  <tableStyleInfo name="TableStyleLight1" showRowStripes="1"/>
</table>
</file>

<file path=xl/tables/table17.xml><?xml version="1.0" encoding="utf-8"?>
<table xmlns="http://schemas.openxmlformats.org/spreadsheetml/2006/main" id="17" name="tblList_YesNoTBC" displayName="tblList_YesNoTBC" ref="C4:C7" headerRowCount="1">
  <autoFilter ref="C4:C7"/>
  <tableColumns count="1">
    <tableColumn id="3" name="YesNoTBC"/>
  </tableColumns>
  <tableStyleInfo name="TableStyleLight1" showRowStripes="1"/>
</table>
</file>

<file path=xl/tables/table18.xml><?xml version="1.0" encoding="utf-8"?>
<table xmlns="http://schemas.openxmlformats.org/spreadsheetml/2006/main" id="18" name="tblList_Market" displayName="tblList_Market" ref="E4:E10" headerRowCount="1">
  <autoFilter ref="E4:E10"/>
  <tableColumns count="1">
    <tableColumn id="5" name="Market"/>
  </tableColumns>
  <tableStyleInfo name="TableStyleLight1" showRowStripes="1"/>
</table>
</file>

<file path=xl/tables/table19.xml><?xml version="1.0" encoding="utf-8"?>
<table xmlns="http://schemas.openxmlformats.org/spreadsheetml/2006/main" id="19" name="tblList_MainCategory" displayName="tblList_MainCategory" ref="G4:G12" headerRowCount="1">
  <autoFilter ref="G4:G12"/>
  <tableColumns count="1">
    <tableColumn id="7" name="MainCategory"/>
  </tableColumns>
  <tableStyleInfo name="TableStyleLight1" showRowStripes="1"/>
</table>
</file>

<file path=xl/tables/table20.xml><?xml version="1.0" encoding="utf-8"?>
<table xmlns="http://schemas.openxmlformats.org/spreadsheetml/2006/main" id="20" name="tblList_Zone" displayName="tblList_Zone" ref="I4:I17" headerRowCount="1">
  <autoFilter ref="I4:I17"/>
  <tableColumns count="1">
    <tableColumn id="9" name="Zone"/>
  </tableColumns>
  <tableStyleInfo name="TableStyleLight1" showRowStripes="1"/>
</table>
</file>

<file path=xl/tables/table21.xml><?xml version="1.0" encoding="utf-8"?>
<table xmlns="http://schemas.openxmlformats.org/spreadsheetml/2006/main" id="21" name="tblList_BrandCode" displayName="tblList_BrandCode" ref="K4:K12" headerRowCount="1">
  <autoFilter ref="K4:K12"/>
  <tableColumns count="1">
    <tableColumn id="11" name="BrandCode"/>
  </tableColumns>
  <tableStyleInfo name="TableStyleLight1" showRowStripes="1"/>
</table>
</file>

<file path=xl/tables/table22.xml><?xml version="1.0" encoding="utf-8"?>
<table xmlns="http://schemas.openxmlformats.org/spreadsheetml/2006/main" id="22" name="tblList_Origin" displayName="tblList_Origin" ref="M4:M6" headerRowCount="1">
  <autoFilter ref="M4:M6"/>
  <tableColumns count="1">
    <tableColumn id="13" name="Origin"/>
  </tableColumns>
  <tableStyleInfo name="TableStyleLight1" showRowStripes="1"/>
</table>
</file>

<file path=xl/tables/table23.xml><?xml version="1.0" encoding="utf-8"?>
<table xmlns="http://schemas.openxmlformats.org/spreadsheetml/2006/main" id="23" name="tblList_MarketStatus" displayName="tblList_MarketStatus" ref="O4:O7" headerRowCount="1">
  <autoFilter ref="O4:O7"/>
  <tableColumns count="1">
    <tableColumn id="15" name="MarketStatus"/>
  </tableColumns>
  <tableStyleInfo name="TableStyleLight1" showRowStripes="1"/>
</table>
</file>

<file path=xl/tables/table24.xml><?xml version="1.0" encoding="utf-8"?>
<table xmlns="http://schemas.openxmlformats.org/spreadsheetml/2006/main" id="24" name="tblList_InternalCategory" displayName="tblList_InternalCategory" ref="Q4:Q10" headerRowCount="1">
  <autoFilter ref="Q4:Q10"/>
  <tableColumns count="1">
    <tableColumn id="17" name="InternalCategory"/>
  </tableColumns>
  <tableStyleInfo name="TableStyleLight1" showRowStripes="1"/>
</table>
</file>

<file path=xl/tables/table25.xml><?xml version="1.0" encoding="utf-8"?>
<table xmlns="http://schemas.openxmlformats.org/spreadsheetml/2006/main" id="25" name="tblList_MarketingOK" displayName="tblList_MarketingOK" ref="S4:S10" headerRowCount="1">
  <autoFilter ref="S4:S10"/>
  <tableColumns count="1">
    <tableColumn id="19" name="MarketingOK"/>
  </tableColumns>
  <tableStyleInfo name="TableStyleLight1" showRowStripes="1"/>
</table>
</file>

<file path=xl/tables/table26.xml><?xml version="1.0" encoding="utf-8"?>
<table xmlns="http://schemas.openxmlformats.org/spreadsheetml/2006/main" id="26" name="tblList_Exclusivity" displayName="tblList_Exclusivity" ref="U4:U10" headerRowCount="1">
  <autoFilter ref="U4:U10"/>
  <tableColumns count="1">
    <tableColumn id="21" name="Exclusivity"/>
  </tableColumns>
  <tableStyleInfo name="TableStyleLight1" showRowStripes="1"/>
</table>
</file>

<file path=xl/tables/table27.xml><?xml version="1.0" encoding="utf-8"?>
<table xmlns="http://schemas.openxmlformats.org/spreadsheetml/2006/main" id="27" name="tblList_Listing" displayName="tblList_Listing" ref="W4:W11" headerRowCount="1">
  <autoFilter ref="W4:W11"/>
  <tableColumns count="1">
    <tableColumn id="23" name="Listing"/>
  </tableColumns>
  <tableStyleInfo name="TableStyleLight1" showRowStripes="1"/>
</table>
</file>

<file path=xl/tables/table28.xml><?xml version="1.0" encoding="utf-8"?>
<table xmlns="http://schemas.openxmlformats.org/spreadsheetml/2006/main" id="28" name="tblList_AtLaunch" displayName="tblList_AtLaunch" ref="Y4:Y13" headerRowCount="1">
  <autoFilter ref="Y4:Y13"/>
  <tableColumns count="1">
    <tableColumn id="25" name="AtLaunch"/>
  </tableColumns>
  <tableStyleInfo name="TableStyleLight1" showRowStripes="1"/>
</table>
</file>

<file path=xl/tables/table29.xml><?xml version="1.0" encoding="utf-8"?>
<table xmlns="http://schemas.openxmlformats.org/spreadsheetml/2006/main" id="29" name="tblList_Comms" displayName="tblList_Comms" ref="AA4:AA13" headerRowCount="1">
  <autoFilter ref="AA4:AA13"/>
  <tableColumns count="1">
    <tableColumn id="27" name="Comms"/>
  </tableColumns>
  <tableStyleInfo name="TableStyleLight1" showRowStripes="1"/>
</table>
</file>

<file path=xl/tables/table30.xml><?xml version="1.0" encoding="utf-8"?>
<table xmlns="http://schemas.openxmlformats.org/spreadsheetml/2006/main" id="30" name="tblList_FloorPlan" displayName="tblList_FloorPlan" ref="AC4:AC6" headerRowCount="1">
  <autoFilter ref="AC4:AC6"/>
  <tableColumns count="1">
    <tableColumn id="29" name="FloorPlan"/>
  </tableColumns>
  <tableStyleInfo name="TableStyleLight1" showRowStripes="1"/>
</table>
</file>

<file path=xl/tables/table31.xml><?xml version="1.0" encoding="utf-8"?>
<table xmlns="http://schemas.openxmlformats.org/spreadsheetml/2006/main" id="31" name="tblList_FixtureType" displayName="tblList_FixtureType" ref="AE4:AE25" headerRowCount="1">
  <autoFilter ref="AE4:AE25"/>
  <tableColumns count="1">
    <tableColumn id="31" name="FixtureType"/>
  </tableColumns>
  <tableStyleInfo name="TableStyleLight1" showRowStripes="1"/>
</table>
</file>

<file path=xl/tables/table32.xml><?xml version="1.0" encoding="utf-8"?>
<table xmlns="http://schemas.openxmlformats.org/spreadsheetml/2006/main" id="32" name="tblList_PO" displayName="tblList_PO" ref="AG4:AG13" headerRowCount="1">
  <autoFilter ref="AG4:AG13"/>
  <tableColumns count="1">
    <tableColumn id="33" name="PO"/>
  </tableColumns>
  <tableStyleInfo name="TableStyleLight1" showRowStripes="1"/>
</table>
</file>

<file path=xl/tables/table33.xml><?xml version="1.0" encoding="utf-8"?>
<table xmlns="http://schemas.openxmlformats.org/spreadsheetml/2006/main" id="33" name="tblList_VPA" displayName="tblList_VPA" ref="AI4:AI8" headerRowCount="1">
  <autoFilter ref="AI4:AI8"/>
  <tableColumns count="1">
    <tableColumn id="35" name="VPA"/>
  </tableColumns>
  <tableStyleInfo name="TableStyleLight1" showRowStripes="1"/>
</table>
</file>

<file path=xl/tables/table34.xml><?xml version="1.0" encoding="utf-8"?>
<table xmlns="http://schemas.openxmlformats.org/spreadsheetml/2006/main" id="34" name="tblList_Registration" displayName="tblList_Registration" ref="AK4:AK14" headerRowCount="1">
  <autoFilter ref="AK4:AK14"/>
  <tableColumns count="1">
    <tableColumn id="37" name="Registration"/>
  </tableColumns>
  <tableStyleInfo name="TableStyleLight1" showRowStripes="1"/>
</table>
</file>

<file path=xl/tables/table35.xml><?xml version="1.0" encoding="utf-8"?>
<table xmlns="http://schemas.openxmlformats.org/spreadsheetml/2006/main" id="35" name="tblList_Quarter" displayName="tblList_Quarter" ref="AM4:AM8" headerRowCount="1">
  <autoFilter ref="AM4:AM8"/>
  <tableColumns count="1">
    <tableColumn id="39" name="Quarter"/>
  </tableColumns>
  <tableStyleInfo name="TableStyleLight1" showRowStripes="1"/>
</table>
</file>

<file path=xl/tables/table36.xml><?xml version="1.0" encoding="utf-8"?>
<table xmlns="http://schemas.openxmlformats.org/spreadsheetml/2006/main" id="36" name="tblList_ProjectComms" displayName="tblList_ProjectComms" ref="AO4:AO10" headerRowCount="1">
  <autoFilter ref="AO4:AO10"/>
  <tableColumns count="1">
    <tableColumn id="41" name="ProjectComms"/>
  </tableColumns>
  <tableStyleInfo name="TableStyleLight1" showRowStripes="1"/>
</table>
</file>

<file path=xl/tables/table37.xml><?xml version="1.0" encoding="utf-8"?>
<table xmlns="http://schemas.openxmlformats.org/spreadsheetml/2006/main" id="37" name="tblList_Schematics" displayName="tblList_Schematics" ref="AQ4:AQ10" headerRowCount="1">
  <autoFilter ref="AQ4:AQ10"/>
  <tableColumns count="1">
    <tableColumn id="43" name="Schematics"/>
  </tableColumns>
  <tableStyleInfo name="TableStyleLight1" showRowStripes="1"/>
</table>
</file>

<file path=xl/tables/table38.xml><?xml version="1.0" encoding="utf-8"?>
<table xmlns="http://schemas.openxmlformats.org/spreadsheetml/2006/main" id="38" name="tblList_VendorRoute" displayName="tblList_VendorRoute" ref="AS4:AS10" headerRowCount="1">
  <autoFilter ref="AS4:AS10"/>
  <tableColumns count="1">
    <tableColumn id="45" name="VendorRoute"/>
  </tableColumns>
  <tableStyleInfo name="TableStyleLight1" showRowStripes="1"/>
</table>
</file>

<file path=xl/tables/table39.xml><?xml version="1.0" encoding="utf-8"?>
<table xmlns="http://schemas.openxmlformats.org/spreadsheetml/2006/main" id="39" name="tblList_VendorState" displayName="tblList_VendorState" ref="AU4:AU12" headerRowCount="1">
  <autoFilter ref="AU4:AU12"/>
  <tableColumns count="1">
    <tableColumn id="47" name="VendorState"/>
  </tableColumns>
  <tableStyleInfo name="TableStyleLight1" showRowStripes="1"/>
</table>
</file>

<file path=xl/tables/table40.xml><?xml version="1.0" encoding="utf-8"?>
<table xmlns="http://schemas.openxmlformats.org/spreadsheetml/2006/main" id="40" name="tblList_ICF" displayName="tblList_ICF" ref="AW4:AW13" headerRowCount="1">
  <autoFilter ref="AW4:AW13"/>
  <tableColumns count="1">
    <tableColumn id="49" name="ICF"/>
  </tableColumns>
  <tableStyleInfo name="TableStyleLight1" showRowStripes="1"/>
</table>
</file>

<file path=xl/tables/table41.xml><?xml version="1.0" encoding="utf-8"?>
<table xmlns="http://schemas.openxmlformats.org/spreadsheetml/2006/main" id="41" name="tblList_SupplierForm" displayName="tblList_SupplierForm" ref="AY4:AY12" headerRowCount="1">
  <autoFilter ref="AY4:AY12"/>
  <tableColumns count="1">
    <tableColumn id="51" name="SupplierForm"/>
  </tableColumns>
  <tableStyleInfo name="TableStyleLight1" showRowStripes="1"/>
</table>
</file>

<file path=xl/tables/table42.xml><?xml version="1.0" encoding="utf-8"?>
<table xmlns="http://schemas.openxmlformats.org/spreadsheetml/2006/main" id="42" name="tblList_AccountForm" displayName="tblList_AccountForm" ref="BA4:BA8" headerRowCount="1">
  <autoFilter ref="BA4:BA8"/>
  <tableColumns count="1">
    <tableColumn id="53" name="AccountForm"/>
  </tableColumns>
  <tableStyleInfo name="TableStyleLight1" showRowStripes="1"/>
</table>
</file>

<file path=xl/tables/table43.xml><?xml version="1.0" encoding="utf-8"?>
<table xmlns="http://schemas.openxmlformats.org/spreadsheetml/2006/main" id="43" name="tblList_OrderShared" displayName="tblList_OrderShared" ref="BC4:BC9" headerRowCount="1">
  <autoFilter ref="BC4:BC9"/>
  <tableColumns count="1">
    <tableColumn id="55" name="OrderShared"/>
  </tableColumns>
  <tableStyleInfo name="TableStyleLight1" showRowStripes="1"/>
</table>
</file>

<file path=xl/tables/table44.xml><?xml version="1.0" encoding="utf-8"?>
<table xmlns="http://schemas.openxmlformats.org/spreadsheetml/2006/main" id="44" name="tblList_DistStatus" displayName="tblList_DistStatus" ref="BE4:BE9" headerRowCount="1">
  <autoFilter ref="BE4:BE9"/>
  <tableColumns count="1">
    <tableColumn id="57" name="DistStatus"/>
  </tableColumns>
  <tableStyleInfo name="TableStyleLight1" showRowStripes="1"/>
</table>
</file>

<file path=xl/tables/table45.xml><?xml version="1.0" encoding="utf-8"?>
<table xmlns="http://schemas.openxmlformats.org/spreadsheetml/2006/main" id="45" name="tblList_RegRoute" displayName="tblList_RegRoute" ref="BG4:BG7" headerRowCount="1">
  <autoFilter ref="BG4:BG7"/>
  <tableColumns count="1">
    <tableColumn id="59" name="RegRoute"/>
  </tableColumns>
  <tableStyleInfo name="TableStyleLight1" showRowStripes="1"/>
</table>
</file>

<file path=xl/tables/table46.xml><?xml version="1.0" encoding="utf-8"?>
<table xmlns="http://schemas.openxmlformats.org/spreadsheetml/2006/main" id="46" name="tblList_InstallStatus" displayName="tblList_InstallStatus" ref="BI4:BI7" headerRowCount="1">
  <autoFilter ref="BI4:BI7"/>
  <tableColumns count="1">
    <tableColumn id="61" name="InstallStatus"/>
  </tableColumns>
  <tableStyleInfo name="TableStyleLight1" showRowStripes="1"/>
</table>
</file>

<file path=xl/tables/table47.xml><?xml version="1.0" encoding="utf-8"?>
<table xmlns="http://schemas.openxmlformats.org/spreadsheetml/2006/main" id="47" name="tblList_DeliveryStatus" displayName="tblList_DeliveryStatus" ref="BK4:BK7" headerRowCount="1">
  <autoFilter ref="BK4:BK7"/>
  <tableColumns count="1">
    <tableColumn id="63" name="DeliveryStatus"/>
  </tableColumns>
  <tableStyleInfo name="TableStyleLight1" showRowStripes="1"/>
</table>
</file>

<file path=xl/tables/table48.xml><?xml version="1.0" encoding="utf-8"?>
<table xmlns="http://schemas.openxmlformats.org/spreadsheetml/2006/main" id="48" name="tblList_VMStatus" displayName="tblList_VMStatus" ref="BM4:BM7" headerRowCount="1">
  <autoFilter ref="BM4:BM7"/>
  <tableColumns count="1">
    <tableColumn id="65" name="VMStatus"/>
  </tableColumns>
  <tableStyleInfo name="TableStyleLight1" showRowStripes="1"/>
</table>
</file>

<file path=xl/tables/table49.xml><?xml version="1.0" encoding="utf-8"?>
<table xmlns="http://schemas.openxmlformats.org/spreadsheetml/2006/main" id="49" name="tblList_NPDType" displayName="tblList_NPDType" ref="BO4:BO7" headerRowCount="1">
  <autoFilter ref="BO4:BO7"/>
  <tableColumns count="1">
    <tableColumn id="67" name="NPDType"/>
  </tableColumns>
  <tableStyleInfo name="TableStyleLight1" showRowStripes="1"/>
</table>
</file>

<file path=xl/tables/table50.xml><?xml version="1.0" encoding="utf-8"?>
<table xmlns="http://schemas.openxmlformats.org/spreadsheetml/2006/main" id="50" name="tblList_StoreRole" displayName="tblList_StoreRole" ref="BQ4:BQ6" headerRowCount="1">
  <autoFilter ref="BQ4:BQ6"/>
  <tableColumns count="1">
    <tableColumn id="69" name="StoreRole"/>
  </tableColumns>
  <tableStyleInfo name="TableStyleLight1" showRowStripes="1"/>
</table>
</file>

<file path=xl/tables/table51.xml><?xml version="1.0" encoding="utf-8"?>
<table xmlns="http://schemas.openxmlformats.org/spreadsheetml/2006/main" id="51" name="tblNormalised" displayName="tblNormalised" ref="BS4:BV5" headerRowCount="1">
  <autoFilter ref="BS4:BV5"/>
  <tableColumns count="4">
    <tableColumn id="71" name="Field"/>
    <tableColumn id="72" name="Original"/>
    <tableColumn id="73" name="Stored as"/>
    <tableColumn id="74" name="Cells"/>
  </tableColumns>
  <tableStyleInfo name="TableStyleLight1" showRowStripes="1"/>
</table>
</file>

<file path=xl/tables/table52.xml><?xml version="1.0" encoding="utf-8"?>
<table xmlns="http://schemas.openxmlformats.org/spreadsheetml/2006/main" id="52" name="tblBrandTeams" displayName="tblBrandTeams" ref="BX4:BX5" headerRowCount="1">
  <autoFilter ref="BX4:BX5"/>
  <tableColumns count="1">
    <tableColumn id="76" name="Brand team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Relationship Type="http://schemas.openxmlformats.org/officeDocument/2006/relationships/table" Target="/xl/tables/table7.xml" Id="rId4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Relationship Type="http://schemas.openxmlformats.org/officeDocument/2006/relationships/table" Target="/xl/tables/table10.xml" Id="rId3"/><Relationship Type="http://schemas.openxmlformats.org/officeDocument/2006/relationships/table" Target="/xl/tables/table11.xml" Id="rId4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6.xml" Id="rId1"/><Relationship Type="http://schemas.openxmlformats.org/officeDocument/2006/relationships/table" Target="/xl/tables/table17.xml" Id="rId2"/><Relationship Type="http://schemas.openxmlformats.org/officeDocument/2006/relationships/table" Target="/xl/tables/table18.xml" Id="rId3"/><Relationship Type="http://schemas.openxmlformats.org/officeDocument/2006/relationships/table" Target="/xl/tables/table19.xml" Id="rId4"/><Relationship Type="http://schemas.openxmlformats.org/officeDocument/2006/relationships/table" Target="/xl/tables/table20.xml" Id="rId5"/><Relationship Type="http://schemas.openxmlformats.org/officeDocument/2006/relationships/table" Target="/xl/tables/table21.xml" Id="rId6"/><Relationship Type="http://schemas.openxmlformats.org/officeDocument/2006/relationships/table" Target="/xl/tables/table22.xml" Id="rId7"/><Relationship Type="http://schemas.openxmlformats.org/officeDocument/2006/relationships/table" Target="/xl/tables/table23.xml" Id="rId8"/><Relationship Type="http://schemas.openxmlformats.org/officeDocument/2006/relationships/table" Target="/xl/tables/table24.xml" Id="rId9"/><Relationship Type="http://schemas.openxmlformats.org/officeDocument/2006/relationships/table" Target="/xl/tables/table25.xml" Id="rId10"/><Relationship Type="http://schemas.openxmlformats.org/officeDocument/2006/relationships/table" Target="/xl/tables/table26.xml" Id="rId11"/><Relationship Type="http://schemas.openxmlformats.org/officeDocument/2006/relationships/table" Target="/xl/tables/table27.xml" Id="rId12"/><Relationship Type="http://schemas.openxmlformats.org/officeDocument/2006/relationships/table" Target="/xl/tables/table28.xml" Id="rId13"/><Relationship Type="http://schemas.openxmlformats.org/officeDocument/2006/relationships/table" Target="/xl/tables/table29.xml" Id="rId14"/><Relationship Type="http://schemas.openxmlformats.org/officeDocument/2006/relationships/table" Target="/xl/tables/table30.xml" Id="rId15"/><Relationship Type="http://schemas.openxmlformats.org/officeDocument/2006/relationships/table" Target="/xl/tables/table31.xml" Id="rId16"/><Relationship Type="http://schemas.openxmlformats.org/officeDocument/2006/relationships/table" Target="/xl/tables/table32.xml" Id="rId17"/><Relationship Type="http://schemas.openxmlformats.org/officeDocument/2006/relationships/table" Target="/xl/tables/table33.xml" Id="rId18"/><Relationship Type="http://schemas.openxmlformats.org/officeDocument/2006/relationships/table" Target="/xl/tables/table34.xml" Id="rId19"/><Relationship Type="http://schemas.openxmlformats.org/officeDocument/2006/relationships/table" Target="/xl/tables/table35.xml" Id="rId20"/><Relationship Type="http://schemas.openxmlformats.org/officeDocument/2006/relationships/table" Target="/xl/tables/table36.xml" Id="rId21"/><Relationship Type="http://schemas.openxmlformats.org/officeDocument/2006/relationships/table" Target="/xl/tables/table37.xml" Id="rId22"/><Relationship Type="http://schemas.openxmlformats.org/officeDocument/2006/relationships/table" Target="/xl/tables/table38.xml" Id="rId23"/><Relationship Type="http://schemas.openxmlformats.org/officeDocument/2006/relationships/table" Target="/xl/tables/table39.xml" Id="rId24"/><Relationship Type="http://schemas.openxmlformats.org/officeDocument/2006/relationships/table" Target="/xl/tables/table40.xml" Id="rId25"/><Relationship Type="http://schemas.openxmlformats.org/officeDocument/2006/relationships/table" Target="/xl/tables/table41.xml" Id="rId26"/><Relationship Type="http://schemas.openxmlformats.org/officeDocument/2006/relationships/table" Target="/xl/tables/table42.xml" Id="rId27"/><Relationship Type="http://schemas.openxmlformats.org/officeDocument/2006/relationships/table" Target="/xl/tables/table43.xml" Id="rId28"/><Relationship Type="http://schemas.openxmlformats.org/officeDocument/2006/relationships/table" Target="/xl/tables/table44.xml" Id="rId29"/><Relationship Type="http://schemas.openxmlformats.org/officeDocument/2006/relationships/table" Target="/xl/tables/table45.xml" Id="rId30"/><Relationship Type="http://schemas.openxmlformats.org/officeDocument/2006/relationships/table" Target="/xl/tables/table46.xml" Id="rId31"/><Relationship Type="http://schemas.openxmlformats.org/officeDocument/2006/relationships/table" Target="/xl/tables/table47.xml" Id="rId32"/><Relationship Type="http://schemas.openxmlformats.org/officeDocument/2006/relationships/table" Target="/xl/tables/table48.xml" Id="rId33"/><Relationship Type="http://schemas.openxmlformats.org/officeDocument/2006/relationships/table" Target="/xl/tables/table49.xml" Id="rId34"/><Relationship Type="http://schemas.openxmlformats.org/officeDocument/2006/relationships/table" Target="/xl/tables/table50.xml" Id="rId35"/><Relationship Type="http://schemas.openxmlformats.org/officeDocument/2006/relationships/table" Target="/xl/tables/table51.xml" Id="rId36"/><Relationship Type="http://schemas.openxmlformats.org/officeDocument/2006/relationships/table" Target="/xl/tables/table5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30" customWidth="1" min="3" max="3"/>
  </cols>
  <sheetData>
    <row r="1">
      <c r="A1" s="1" t="inlineStr">
        <is>
          <t>Launch workbook</t>
        </is>
      </c>
    </row>
    <row r="2">
      <c r="A2" t="inlineStr">
        <is>
          <t>Organised launch workbook, template 1.0. Confidential - internal use once filled in.</t>
        </is>
      </c>
    </row>
    <row r="3">
      <c r="A3" t="inlineStr">
        <is>
          <t>Field meanings and value lists: tm8 doc 'Launch tracker data dictionary' (01a188ce-908b-7e7f-846f-e2bc7e7e37f3).</t>
        </is>
      </c>
    </row>
    <row r="5">
      <c r="A5" s="2" t="inlineStr">
        <is>
          <t>Sheet</t>
        </is>
      </c>
      <c r="B5" s="2" t="inlineStr">
        <is>
          <t>What it holds</t>
        </is>
      </c>
    </row>
    <row r="6">
      <c r="A6" t="inlineStr">
        <is>
          <t>Lines</t>
        </is>
      </c>
      <c r="B6" t="inlineStr">
        <is>
          <t>One row per launch line (brand x zone). Store 1 and Store 2 hold the store code; their column groups hold that store's answers.</t>
        </is>
      </c>
    </row>
    <row r="7">
      <c r="A7" t="inlineStr">
        <is>
          <t>Brands</t>
        </is>
      </c>
      <c r="B7" t="inlineStr">
        <is>
          <t>Brand master. Lines counts the brand's lines.</t>
        </is>
      </c>
    </row>
    <row r="8">
      <c r="A8" t="inlineStr">
        <is>
          <t>Distribution by market</t>
        </is>
      </c>
      <c r="B8" t="inlineStr">
        <is>
          <t>One row per line and market: distributor, contacts as written, margin split into base, extra and terms.</t>
        </is>
      </c>
    </row>
    <row r="9">
      <c r="A9" t="inlineStr">
        <is>
          <t>Vendors &amp; contacts</t>
        </is>
      </c>
      <c r="B9" t="inlineStr">
        <is>
          <t>Vendor directory with the spellings found, contacts, vendor packs and brand lists.</t>
        </is>
      </c>
    </row>
    <row r="10">
      <c r="A10" t="inlineStr">
        <is>
          <t>Stores &amp; capacity</t>
        </is>
      </c>
      <c r="B10" t="inlineStr">
        <is>
          <t>Launches, stores, fixture capacity per store, and reference-store fixtures per line.</t>
        </is>
      </c>
    </row>
    <row r="11">
      <c r="A11" t="inlineStr">
        <is>
          <t>Installs &amp; deliveries</t>
        </is>
      </c>
      <c r="B11" t="inlineStr">
        <is>
          <t>One row per line (or brand) and store: install window, contractor, delivery, VM status.</t>
        </is>
      </c>
    </row>
    <row r="12">
      <c r="A12" t="inlineStr">
        <is>
          <t>Market visits</t>
        </is>
      </c>
      <c r="B12" t="inlineStr">
        <is>
          <t>Market-visit agenda and the brands each vendor brings.</t>
        </is>
      </c>
    </row>
    <row r="13">
      <c r="A13" t="inlineStr">
        <is>
          <t>US NPD &amp; replenishment</t>
        </is>
      </c>
      <c r="B13" t="inlineStr">
        <is>
          <t>US new products, replenishments and new brands, with ETA per market.</t>
        </is>
      </c>
    </row>
    <row r="14">
      <c r="A14" t="inlineStr">
        <is>
          <t>Dashboard</t>
        </is>
      </c>
      <c r="B14" t="inlineStr">
        <is>
          <t>Launch dashboard: counts computed from Lines; nothing typed in.</t>
        </is>
      </c>
    </row>
    <row r="15">
      <c r="A15" t="inlineStr">
        <is>
          <t>Lists</t>
        </is>
      </c>
      <c r="B15" t="inlineStr">
        <is>
          <t>Every value list. Dropdowns read from here. Normalised spellings lists what the importer changed.</t>
        </is>
      </c>
    </row>
    <row r="17">
      <c r="A17" s="2" t="inlineStr">
        <is>
          <t>Brand code legend</t>
        </is>
      </c>
    </row>
    <row r="18">
      <c r="A18" s="3" t="inlineStr">
        <is>
          <t>Purple</t>
        </is>
      </c>
      <c r="B18" t="inlineStr">
        <is>
          <t>US brand, exclusive</t>
        </is>
      </c>
    </row>
    <row r="19">
      <c r="A19" s="4" t="inlineStr">
        <is>
          <t>Blue</t>
        </is>
      </c>
      <c r="B19" t="inlineStr">
        <is>
          <t>US brand, not exclusive</t>
        </is>
      </c>
    </row>
    <row r="20">
      <c r="A20" s="5" t="inlineStr">
        <is>
          <t>Green</t>
        </is>
      </c>
      <c r="B20" t="inlineStr">
        <is>
          <t>US brand, locally supplied</t>
        </is>
      </c>
    </row>
    <row r="21">
      <c r="A21" s="6" t="inlineStr">
        <is>
          <t>Yellow</t>
        </is>
      </c>
      <c r="B21" t="inlineStr">
        <is>
          <t>Local brand</t>
        </is>
      </c>
    </row>
    <row r="22">
      <c r="A22" s="7" t="inlineStr">
        <is>
          <t>Grey</t>
        </is>
      </c>
      <c r="B22" t="inlineStr">
        <is>
          <t>Dropped vs UAE</t>
        </is>
      </c>
    </row>
    <row r="23">
      <c r="A23" s="8" t="inlineStr">
        <is>
          <t>TBC</t>
        </is>
      </c>
      <c r="B23" t="inlineStr">
        <is>
          <t>Listing to be confirmed</t>
        </is>
      </c>
    </row>
    <row r="24">
      <c r="A24" s="9" t="inlineStr">
        <is>
          <t>Other</t>
        </is>
      </c>
      <c r="B24" t="inlineStr">
        <is>
          <t>Bespoke bay or temporary endcap</t>
        </is>
      </c>
    </row>
    <row r="25">
      <c r="A25" s="10" t="inlineStr">
        <is>
          <t>Late</t>
        </is>
      </c>
      <c r="B25" t="inlineStr">
        <is>
          <t>Arrives after opening</t>
        </is>
      </c>
    </row>
    <row r="26">
      <c r="A26" t="inlineStr">
        <is>
          <t>Double placement = Yes</t>
        </is>
      </c>
      <c r="B26" t="inlineStr">
        <is>
          <t>The same brand placed a second time in another zone (old 'DOUBLE' codes).</t>
        </is>
      </c>
    </row>
    <row r="28">
      <c r="A28" s="2" t="inlineStr">
        <is>
          <t>Rules</t>
        </is>
      </c>
    </row>
    <row r="29">
      <c r="A29" t="inlineStr">
        <is>
          <t>-</t>
        </is>
      </c>
      <c r="B29" t="inlineStr">
        <is>
          <t>Pick coded values from the dropdowns; Lists holds every value list.</t>
        </is>
      </c>
    </row>
    <row r="30">
      <c r="A30" t="inlineStr">
        <is>
          <t>-</t>
        </is>
      </c>
      <c r="B30" t="inlineStr">
        <is>
          <t>Each store column group belongs to the store code in Store 1 or Store 2 on that row.</t>
        </is>
      </c>
    </row>
    <row r="31">
      <c r="A31" t="inlineStr">
        <is>
          <t>-</t>
        </is>
      </c>
      <c r="B31" t="inlineStr">
        <is>
          <t>US brands (Purple, Blue) skip vendor set-up and ICF ('US brand'); their PO is 'Picked at US DC'.</t>
        </is>
      </c>
    </row>
    <row r="32">
      <c r="A32" t="inlineStr">
        <is>
          <t>-</t>
        </is>
      </c>
      <c r="B32" t="inlineStr">
        <is>
          <t>Grey or a 'No' listing closes that store's gates.</t>
        </is>
      </c>
    </row>
    <row r="33">
      <c r="A33" t="inlineStr">
        <is>
          <t>-</t>
        </is>
      </c>
      <c r="B33" t="inlineStr">
        <is>
          <t>Columns ending 'as written' keep the original text; the typed columns beside them are the clean values.</t>
        </is>
      </c>
    </row>
    <row r="34">
      <c r="A34" t="inlineStr">
        <is>
          <t>-</t>
        </is>
      </c>
      <c r="B34" t="inlineStr">
        <is>
          <t>Notes holds any part of an old answer that did not fit a value list.</t>
        </is>
      </c>
    </row>
    <row r="35">
      <c r="A35" t="inlineStr">
        <is>
          <t>-</t>
        </is>
      </c>
      <c r="B35" t="inlineStr">
        <is>
          <t>Add rows inside the tables (Tab in the last row) so dropdowns and the legend extend with them.</t>
        </is>
      </c>
    </row>
    <row r="37">
      <c r="A37" s="2" t="inlineStr">
        <is>
          <t>Column owners</t>
        </is>
      </c>
      <c r="B37" s="2" t="inlineStr">
        <is>
          <t>Field group</t>
        </is>
      </c>
      <c r="C37" s="2" t="inlineStr">
        <is>
          <t>Owner team</t>
        </is>
      </c>
    </row>
    <row r="38">
      <c r="B38" t="inlineStr">
        <is>
          <t>Identity and classification</t>
        </is>
      </c>
      <c r="C38" t="inlineStr">
        <is>
          <t>Brand team</t>
        </is>
      </c>
    </row>
    <row r="39">
      <c r="B39" t="inlineStr">
        <is>
          <t>Distribution, contacts, margins</t>
        </is>
      </c>
      <c r="C39" t="inlineStr">
        <is>
          <t>Brand team</t>
        </is>
      </c>
    </row>
    <row r="40">
      <c r="B40" t="inlineStr">
        <is>
          <t>Listing, comms, floor plan</t>
        </is>
      </c>
      <c r="C40" t="inlineStr">
        <is>
          <t>Brand team / Comms</t>
        </is>
      </c>
    </row>
    <row r="41">
      <c r="B41" t="inlineStr">
        <is>
          <t>VPA</t>
        </is>
      </c>
      <c r="C41" t="inlineStr">
        <is>
          <t>Commercial</t>
        </is>
      </c>
    </row>
    <row r="42">
      <c r="B42" t="inlineStr">
        <is>
          <t>Data set-up and registration</t>
        </is>
      </c>
      <c r="C42" t="inlineStr">
        <is>
          <t>Registration</t>
        </is>
      </c>
    </row>
    <row r="43">
      <c r="B43" t="inlineStr">
        <is>
          <t>Project communication</t>
        </is>
      </c>
      <c r="C43" t="inlineStr">
        <is>
          <t>Comms</t>
        </is>
      </c>
    </row>
    <row r="44">
      <c r="B44" t="inlineStr">
        <is>
          <t>Vendor set-up, ICF, PO</t>
        </is>
      </c>
      <c r="C44" t="inlineStr">
        <is>
          <t>Supply</t>
        </is>
      </c>
    </row>
    <row r="45">
      <c r="B45" t="inlineStr">
        <is>
          <t>Schematics, fixtures, VM install</t>
        </is>
      </c>
      <c r="C45" t="inlineStr">
        <is>
          <t>VM</t>
        </is>
      </c>
    </row>
    <row r="46">
      <c r="B46" t="inlineStr">
        <is>
          <t>Feedback columns</t>
        </is>
      </c>
      <c r="C46" t="inlineStr">
        <is>
          <t>Brand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pane xSplit="12" ySplit="4" topLeftCell="M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8" customWidth="1" min="4" max="4"/>
    <col width="13" customWidth="1" min="5" max="5"/>
    <col width="13" customWidth="1" min="6" max="6"/>
    <col width="13" customWidth="1" min="7" max="7"/>
    <col width="14" customWidth="1" min="8" max="8"/>
    <col width="18" customWidth="1" min="9" max="9"/>
    <col width="13" customWidth="1" min="10" max="10"/>
    <col width="13" customWidth="1" min="11" max="11"/>
    <col width="24" customWidth="1" min="12" max="12"/>
    <col width="28" customWidth="1" min="13" max="13"/>
    <col width="13" customWidth="1" min="14" max="14"/>
    <col width="22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8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22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22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6" customWidth="1" min="52" max="52"/>
    <col width="13" customWidth="1" min="53" max="53"/>
    <col width="13" customWidth="1" min="54" max="54"/>
    <col width="13" customWidth="1" min="55" max="55"/>
    <col width="13" customWidth="1" min="56" max="56"/>
    <col width="15" customWidth="1" min="57" max="57"/>
    <col width="13" customWidth="1" min="58" max="58"/>
    <col width="20" customWidth="1" min="59" max="59"/>
    <col width="13" customWidth="1" min="60" max="60"/>
    <col width="15" customWidth="1" min="61" max="61"/>
    <col width="15" customWidth="1" min="62" max="62"/>
    <col width="13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30" customWidth="1" min="69" max="69"/>
    <col width="16" customWidth="1" min="70" max="70"/>
  </cols>
  <sheetData>
    <row r="1">
      <c r="A1" s="1" t="inlineStr">
        <is>
          <t>Lines</t>
        </is>
      </c>
      <c r="B1" t="inlineStr">
        <is>
          <t>One row per launch line (brand x zone). Store 1 and Store 2 hold the store code; their column groups hold that store's answers.</t>
        </is>
      </c>
    </row>
    <row r="3">
      <c r="A3" s="2" t="inlineStr">
        <is>
          <t>Lines</t>
        </is>
      </c>
    </row>
    <row r="4">
      <c r="A4" s="11" t="inlineStr">
        <is>
          <t>Line ID</t>
        </is>
      </c>
      <c r="B4" s="11" t="inlineStr">
        <is>
          <t>Launch</t>
        </is>
      </c>
      <c r="C4" s="11" t="inlineStr">
        <is>
          <t>Main category</t>
        </is>
      </c>
      <c r="D4" s="11" t="inlineStr">
        <is>
          <t>Zone</t>
        </is>
      </c>
      <c r="E4" s="11" t="inlineStr">
        <is>
          <t>Sub-zone</t>
        </is>
      </c>
      <c r="F4" s="11" t="inlineStr">
        <is>
          <t>Area</t>
        </is>
      </c>
      <c r="G4" s="11" t="inlineStr">
        <is>
          <t>Brand team</t>
        </is>
      </c>
      <c r="H4" s="11" t="inlineStr">
        <is>
          <t>Follow-up owner</t>
        </is>
      </c>
      <c r="I4" s="11" t="inlineStr">
        <is>
          <t>Host group</t>
        </is>
      </c>
      <c r="J4" s="11" t="inlineStr">
        <is>
          <t>Brand code</t>
        </is>
      </c>
      <c r="K4" s="11" t="inlineStr">
        <is>
          <t>Double placement</t>
        </is>
      </c>
      <c r="L4" s="11" t="inlineStr">
        <is>
          <t>Brand</t>
        </is>
      </c>
      <c r="M4" s="11" t="inlineStr">
        <is>
          <t>External key</t>
        </is>
      </c>
      <c r="N4" s="12" t="inlineStr">
        <is>
          <t>From</t>
        </is>
      </c>
      <c r="O4" s="12" t="inlineStr">
        <is>
          <t>Market status</t>
        </is>
      </c>
      <c r="P4" s="12" t="inlineStr">
        <is>
          <t>Internal category</t>
        </is>
      </c>
      <c r="Q4" s="12" t="inlineStr">
        <is>
          <t>The 80 brands</t>
        </is>
      </c>
      <c r="R4" s="12" t="inlineStr">
        <is>
          <t>Marketing OK</t>
        </is>
      </c>
      <c r="S4" s="13" t="inlineStr">
        <is>
          <t>Penetration plan</t>
        </is>
      </c>
      <c r="T4" s="13" t="inlineStr">
        <is>
          <t>Penetration UAE all regions</t>
        </is>
      </c>
      <c r="U4" s="13" t="inlineStr">
        <is>
          <t>Penetration UAE actual</t>
        </is>
      </c>
      <c r="V4" s="13" t="inlineStr">
        <is>
          <t>Penetration plan MOE</t>
        </is>
      </c>
      <c r="W4" s="13" t="inlineStr">
        <is>
          <t>Penetration notes</t>
        </is>
      </c>
      <c r="X4" s="14" t="inlineStr">
        <is>
          <t>Store 1</t>
        </is>
      </c>
      <c r="Y4" s="14" t="inlineStr">
        <is>
          <t>S1 Listing</t>
        </is>
      </c>
      <c r="Z4" s="14" t="inlineStr">
        <is>
          <t>S1 At launch</t>
        </is>
      </c>
      <c r="AA4" s="14" t="inlineStr">
        <is>
          <t>S1 At launch recheck</t>
        </is>
      </c>
      <c r="AB4" s="14" t="inlineStr">
        <is>
          <t>S1 Comms</t>
        </is>
      </c>
      <c r="AC4" s="14" t="inlineStr">
        <is>
          <t>S1 Floor plan</t>
        </is>
      </c>
      <c r="AD4" s="14" t="inlineStr">
        <is>
          <t>S1 Fixture as written</t>
        </is>
      </c>
      <c r="AE4" s="14" t="inlineStr">
        <is>
          <t>S1 Fixture type</t>
        </is>
      </c>
      <c r="AF4" s="14" t="inlineStr">
        <is>
          <t>S1 Width ft</t>
        </is>
      </c>
      <c r="AG4" s="14" t="inlineStr">
        <is>
          <t>S1 Shelves</t>
        </is>
      </c>
      <c r="AH4" s="14" t="inlineStr">
        <is>
          <t>S1 Temporary</t>
        </is>
      </c>
      <c r="AI4" s="14" t="inlineStr">
        <is>
          <t>S1 PO</t>
        </is>
      </c>
      <c r="AJ4" s="15" t="inlineStr">
        <is>
          <t>Store 2</t>
        </is>
      </c>
      <c r="AK4" s="15" t="inlineStr">
        <is>
          <t>S2 Listing</t>
        </is>
      </c>
      <c r="AL4" s="15" t="inlineStr">
        <is>
          <t>S2 At launch</t>
        </is>
      </c>
      <c r="AM4" s="15" t="inlineStr">
        <is>
          <t>S2 At launch recheck</t>
        </is>
      </c>
      <c r="AN4" s="15" t="inlineStr">
        <is>
          <t>S2 Comms</t>
        </is>
      </c>
      <c r="AO4" s="15" t="inlineStr">
        <is>
          <t>S2 Floor plan</t>
        </is>
      </c>
      <c r="AP4" s="15" t="inlineStr">
        <is>
          <t>S2 Fixture as written</t>
        </is>
      </c>
      <c r="AQ4" s="15" t="inlineStr">
        <is>
          <t>S2 Fixture type</t>
        </is>
      </c>
      <c r="AR4" s="15" t="inlineStr">
        <is>
          <t>S2 Width ft</t>
        </is>
      </c>
      <c r="AS4" s="15" t="inlineStr">
        <is>
          <t>S2 Shelves</t>
        </is>
      </c>
      <c r="AT4" s="15" t="inlineStr">
        <is>
          <t>S2 Temporary</t>
        </is>
      </c>
      <c r="AU4" s="15" t="inlineStr">
        <is>
          <t>S2 PO</t>
        </is>
      </c>
      <c r="AV4" s="16" t="inlineStr">
        <is>
          <t>VPA status</t>
        </is>
      </c>
      <c r="AW4" s="16" t="inlineStr">
        <is>
          <t>VPA shared</t>
        </is>
      </c>
      <c r="AX4" s="16" t="inlineStr">
        <is>
          <t>VPA countersigned</t>
        </is>
      </c>
      <c r="AY4" s="16" t="inlineStr">
        <is>
          <t>VPA signed</t>
        </is>
      </c>
      <c r="AZ4" s="16" t="inlineStr">
        <is>
          <t>Data set-up</t>
        </is>
      </c>
      <c r="BA4" s="16" t="inlineStr">
        <is>
          <t>Data set-up quarter</t>
        </is>
      </c>
      <c r="BB4" s="16" t="inlineStr">
        <is>
          <t>Project comms</t>
        </is>
      </c>
      <c r="BC4" s="16" t="inlineStr">
        <is>
          <t>Schematics</t>
        </is>
      </c>
      <c r="BD4" s="16" t="inlineStr">
        <is>
          <t>Schematics same as</t>
        </is>
      </c>
      <c r="BE4" s="16" t="inlineStr">
        <is>
          <t>Vendor set-up route</t>
        </is>
      </c>
      <c r="BF4" s="16" t="inlineStr">
        <is>
          <t>Vendor set-up state</t>
        </is>
      </c>
      <c r="BG4" s="16" t="inlineStr">
        <is>
          <t>Vendor set-up note</t>
        </is>
      </c>
      <c r="BH4" s="16" t="inlineStr">
        <is>
          <t>ICF</t>
        </is>
      </c>
      <c r="BI4" s="16" t="inlineStr">
        <is>
          <t>Supplier opening form</t>
        </is>
      </c>
      <c r="BJ4" s="16" t="inlineStr">
        <is>
          <t>Account opening form</t>
        </is>
      </c>
      <c r="BK4" s="16" t="inlineStr">
        <is>
          <t>Order shared</t>
        </is>
      </c>
      <c r="BL4" s="17" t="inlineStr">
        <is>
          <t>Feedback supplier creation</t>
        </is>
      </c>
      <c r="BM4" s="17" t="inlineStr">
        <is>
          <t>Feedback ICF</t>
        </is>
      </c>
      <c r="BN4" s="17" t="inlineStr">
        <is>
          <t>Feedback schematics</t>
        </is>
      </c>
      <c r="BO4" s="17" t="inlineStr">
        <is>
          <t>Comments</t>
        </is>
      </c>
      <c r="BP4" s="17" t="inlineStr">
        <is>
          <t>Added comments</t>
        </is>
      </c>
      <c r="BQ4" s="17" t="inlineStr">
        <is>
          <t>Notes</t>
        </is>
      </c>
      <c r="BR4" s="17" t="inlineStr">
        <is>
          <t>Source</t>
        </is>
      </c>
    </row>
    <row r="5"/>
  </sheetData>
  <conditionalFormatting sqref="J5 L5">
    <cfRule type="expression" priority="1" dxfId="0" stopIfTrue="1">
      <formula>$J5="Purple"</formula>
    </cfRule>
    <cfRule type="expression" priority="2" dxfId="1" stopIfTrue="1">
      <formula>$J5="Blue"</formula>
    </cfRule>
    <cfRule type="expression" priority="3" dxfId="2" stopIfTrue="1">
      <formula>$J5="Green"</formula>
    </cfRule>
    <cfRule type="expression" priority="4" dxfId="3" stopIfTrue="1">
      <formula>$J5="Yellow"</formula>
    </cfRule>
    <cfRule type="expression" priority="5" dxfId="4" stopIfTrue="1">
      <formula>$J5="Grey"</formula>
    </cfRule>
    <cfRule type="expression" priority="6" dxfId="5" stopIfTrue="1">
      <formula>$J5="TBC"</formula>
    </cfRule>
    <cfRule type="expression" priority="7" dxfId="6" stopIfTrue="1">
      <formula>$J5="Other"</formula>
    </cfRule>
    <cfRule type="expression" priority="8" dxfId="7" stopIfTrue="1">
      <formula>$J5="Late"</formula>
    </cfRule>
  </conditionalFormatting>
  <dataValidations count="54">
    <dataValidation sqref="B5" showDropDown="0" showInputMessage="0" showErrorMessage="1" allowBlank="1" errorTitle="Launch" error="Pick a value from the list (Lists sheet)." type="list">
      <formula1>=lst_Launch</formula1>
    </dataValidation>
    <dataValidation sqref="C5" showDropDown="0" showInputMessage="0" showErrorMessage="1" allowBlank="1" errorTitle="Main category" error="Pick a value from the list (Lists sheet)." type="list">
      <formula1>=lst_MainCategory</formula1>
    </dataValidation>
    <dataValidation sqref="D5" showDropDown="0" showInputMessage="0" showErrorMessage="1" allowBlank="1" errorTitle="Zone" error="Pick a value from the list (Lists sheet)." type="list">
      <formula1>=lst_Zone</formula1>
    </dataValidation>
    <dataValidation sqref="F5" showDropDown="0" showInputMessage="0" showErrorMessage="1" allowBlank="1" errorTitle="Area" error="Enter a valid value." type="whole" operator="greaterThanOrEqual">
      <formula1>0</formula1>
    </dataValidation>
    <dataValidation sqref="G5" showDropDown="0" showInputMessage="0" showErrorMessage="1" allowBlank="1" errorTitle="Brand team" error="Pick a value from the list (Lists sheet)." type="list">
      <formula1>=lst_BrandTeam</formula1>
    </dataValidation>
    <dataValidation sqref="J5" showDropDown="0" showInputMessage="0" showErrorMessage="1" allowBlank="1" errorTitle="Brand code" error="Pick a value from the list (Lists sheet)." type="list">
      <formula1>=lst_BrandCode</formula1>
    </dataValidation>
    <dataValidation sqref="K5" showDropDown="0" showInputMessage="0" showErrorMessage="1" allowBlank="1" errorTitle="Double placement" error="Pick a value from the list (Lists sheet)." type="list">
      <formula1>=lst_YesNo</formula1>
    </dataValidation>
    <dataValidation sqref="L5" showDropDown="0" showInputMessage="0" showErrorMessage="1" allowBlank="1" errorTitle="Brand" error="Pick a value from the list (Lists sheet)." type="list" errorStyle="warning">
      <formula1>=lst_Brand</formula1>
    </dataValidation>
    <dataValidation sqref="N5" showDropDown="0" showInputMessage="0" showErrorMessage="1" allowBlank="1" errorTitle="From" error="Pick a value from the list (Lists sheet)." type="list">
      <formula1>=lst_Origin</formula1>
    </dataValidation>
    <dataValidation sqref="O5" showDropDown="0" showInputMessage="0" showErrorMessage="1" allowBlank="1" errorTitle="Market status" error="Pick a value from the list (Lists sheet)." type="list">
      <formula1>=lst_MarketStatus</formula1>
    </dataValidation>
    <dataValidation sqref="P5" showDropDown="0" showInputMessage="0" showErrorMessage="1" allowBlank="1" errorTitle="Internal category" error="Pick a value from the list (Lists sheet)." type="list">
      <formula1>=lst_InternalCategory</formula1>
    </dataValidation>
    <dataValidation sqref="Q5" showDropDown="0" showInputMessage="0" showErrorMessage="1" allowBlank="1" errorTitle="The 80 brands" error="Pick a value from the list (Lists sheet)." type="list">
      <formula1>=lst_YesNo</formula1>
    </dataValidation>
    <dataValidation sqref="R5" showDropDown="0" showInputMessage="0" showErrorMessage="1" allowBlank="1" errorTitle="Marketing OK" error="Pick a value from the list (Lists sheet)." type="list">
      <formula1>=lst_MarketingOK</formula1>
    </dataValidation>
    <dataValidation sqref="S5" showDropDown="0" showInputMessage="0" showErrorMessage="1" allowBlank="1" errorTitle="Penetration plan" error="Enter a valid value." type="decimal" operator="greaterThanOrEqual">
      <formula1>0</formula1>
    </dataValidation>
    <dataValidation sqref="T5" showDropDown="0" showInputMessage="0" showErrorMessage="1" allowBlank="1" errorTitle="Penetration UAE all regions" error="Enter a valid value." type="decimal" operator="greaterThanOrEqual">
      <formula1>0</formula1>
    </dataValidation>
    <dataValidation sqref="U5" showDropDown="0" showInputMessage="0" showErrorMessage="1" allowBlank="1" errorTitle="Penetration UAE actual" error="Enter a valid value." type="decimal" operator="greaterThanOrEqual">
      <formula1>0</formula1>
    </dataValidation>
    <dataValidation sqref="V5" showDropDown="0" showInputMessage="0" showErrorMessage="1" allowBlank="1" errorTitle="Penetration plan MOE" error="Enter a valid value." type="decimal" operator="greaterThanOrEqual">
      <formula1>0</formula1>
    </dataValidation>
    <dataValidation sqref="X5" showDropDown="0" showInputMessage="0" showErrorMessage="1" allowBlank="1" errorTitle="Store 1" error="Pick a value from the list (Lists sheet)." type="list">
      <formula1>=lst_Store</formula1>
    </dataValidation>
    <dataValidation sqref="Y5" showDropDown="0" showInputMessage="0" showErrorMessage="1" allowBlank="1" errorTitle="S1 Listing" error="Pick a value from the list (Lists sheet)." type="list">
      <formula1>=lst_Listing</formula1>
    </dataValidation>
    <dataValidation sqref="Z5" showDropDown="0" showInputMessage="0" showErrorMessage="1" allowBlank="1" errorTitle="S1 At launch" error="Pick a value from the list (Lists sheet)." type="list">
      <formula1>=lst_AtLaunch</formula1>
    </dataValidation>
    <dataValidation sqref="AA5" showDropDown="0" showInputMessage="0" showErrorMessage="1" allowBlank="1" errorTitle="S1 At launch recheck" error="Pick a value from the list (Lists sheet)." type="list">
      <formula1>=lst_AtLaunch</formula1>
    </dataValidation>
    <dataValidation sqref="AB5" showDropDown="0" showInputMessage="0" showErrorMessage="1" allowBlank="1" errorTitle="S1 Comms" error="Pick a value from the list (Lists sheet)." type="list">
      <formula1>=lst_Comms</formula1>
    </dataValidation>
    <dataValidation sqref="AC5" showDropDown="0" showInputMessage="0" showErrorMessage="1" allowBlank="1" errorTitle="S1 Floor plan" error="Pick a value from the list (Lists sheet)." type="list">
      <formula1>=lst_FloorPlan</formula1>
    </dataValidation>
    <dataValidation sqref="AE5" showDropDown="0" showInputMessage="0" showErrorMessage="1" allowBlank="1" errorTitle="S1 Fixture type" error="Pick a value from the list (Lists sheet)." type="list">
      <formula1>=lst_FixtureType</formula1>
    </dataValidation>
    <dataValidation sqref="AF5" showDropDown="0" showInputMessage="0" showErrorMessage="1" allowBlank="1" errorTitle="S1 Width ft" error="Enter a valid value." type="decimal" operator="greaterThanOrEqual">
      <formula1>0</formula1>
    </dataValidation>
    <dataValidation sqref="AG5" showDropDown="0" showInputMessage="0" showErrorMessage="1" allowBlank="1" errorTitle="S1 Shelves" error="Enter a valid value." type="whole" operator="greaterThanOrEqual">
      <formula1>0</formula1>
    </dataValidation>
    <dataValidation sqref="AH5" showDropDown="0" showInputMessage="0" showErrorMessage="1" allowBlank="1" errorTitle="S1 Temporary" error="Pick a value from the list (Lists sheet)." type="list">
      <formula1>=lst_YesNo</formula1>
    </dataValidation>
    <dataValidation sqref="AI5" showDropDown="0" showInputMessage="0" showErrorMessage="1" allowBlank="1" errorTitle="S1 PO" error="Pick a value from the list (Lists sheet)." type="list">
      <formula1>=lst_PO</formula1>
    </dataValidation>
    <dataValidation sqref="AJ5" showDropDown="0" showInputMessage="0" showErrorMessage="1" allowBlank="1" errorTitle="Store 2" error="Pick a value from the list (Lists sheet)." type="list">
      <formula1>=lst_Store</formula1>
    </dataValidation>
    <dataValidation sqref="AK5" showDropDown="0" showInputMessage="0" showErrorMessage="1" allowBlank="1" errorTitle="S2 Listing" error="Pick a value from the list (Lists sheet)." type="list">
      <formula1>=lst_Listing</formula1>
    </dataValidation>
    <dataValidation sqref="AL5" showDropDown="0" showInputMessage="0" showErrorMessage="1" allowBlank="1" errorTitle="S2 At launch" error="Pick a value from the list (Lists sheet)." type="list">
      <formula1>=lst_AtLaunch</formula1>
    </dataValidation>
    <dataValidation sqref="AM5" showDropDown="0" showInputMessage="0" showErrorMessage="1" allowBlank="1" errorTitle="S2 At launch recheck" error="Pick a value from the list (Lists sheet)." type="list">
      <formula1>=lst_AtLaunch</formula1>
    </dataValidation>
    <dataValidation sqref="AN5" showDropDown="0" showInputMessage="0" showErrorMessage="1" allowBlank="1" errorTitle="S2 Comms" error="Pick a value from the list (Lists sheet)." type="list">
      <formula1>=lst_Comms</formula1>
    </dataValidation>
    <dataValidation sqref="AO5" showDropDown="0" showInputMessage="0" showErrorMessage="1" allowBlank="1" errorTitle="S2 Floor plan" error="Pick a value from the list (Lists sheet)." type="list">
      <formula1>=lst_FloorPlan</formula1>
    </dataValidation>
    <dataValidation sqref="AQ5" showDropDown="0" showInputMessage="0" showErrorMessage="1" allowBlank="1" errorTitle="S2 Fixture type" error="Pick a value from the list (Lists sheet)." type="list">
      <formula1>=lst_FixtureType</formula1>
    </dataValidation>
    <dataValidation sqref="AR5" showDropDown="0" showInputMessage="0" showErrorMessage="1" allowBlank="1" errorTitle="S2 Width ft" error="Enter a valid value." type="decimal" operator="greaterThanOrEqual">
      <formula1>0</formula1>
    </dataValidation>
    <dataValidation sqref="AS5" showDropDown="0" showInputMessage="0" showErrorMessage="1" allowBlank="1" errorTitle="S2 Shelves" error="Enter a valid value." type="whole" operator="greaterThanOrEqual">
      <formula1>0</formula1>
    </dataValidation>
    <dataValidation sqref="AT5" showDropDown="0" showInputMessage="0" showErrorMessage="1" allowBlank="1" errorTitle="S2 Temporary" error="Pick a value from the list (Lists sheet)." type="list">
      <formula1>=lst_YesNo</formula1>
    </dataValidation>
    <dataValidation sqref="AU5" showDropDown="0" showInputMessage="0" showErrorMessage="1" allowBlank="1" errorTitle="S2 PO" error="Pick a value from the list (Lists sheet)." type="list">
      <formula1>=lst_PO</formula1>
    </dataValidation>
    <dataValidation sqref="AV5" showDropDown="0" showInputMessage="0" showErrorMessage="1" allowBlank="1" errorTitle="VPA status" error="Pick a value from the list (Lists sheet)." type="list">
      <formula1>=lst_VPA</formula1>
    </dataValidation>
    <dataValidation sqref="AW5" showDropDown="0" showInputMessage="0" showErrorMessage="1" allowBlank="1" errorTitle="VPA shared" error="Pick a value from the list (Lists sheet)." type="list">
      <formula1>=lst_YesNoTBC</formula1>
    </dataValidation>
    <dataValidation sqref="AX5" showDropDown="0" showInputMessage="0" showErrorMessage="1" allowBlank="1" errorTitle="VPA countersigned" error="Pick a value from the list (Lists sheet)." type="list">
      <formula1>=lst_YesNo</formula1>
    </dataValidation>
    <dataValidation sqref="AY5" showDropDown="0" showInputMessage="0" showErrorMessage="1" allowBlank="1" errorTitle="VPA signed" error="Pick a value from the list (Lists sheet)." type="list">
      <formula1>=lst_YesNoTBC</formula1>
    </dataValidation>
    <dataValidation sqref="AZ5" showDropDown="0" showInputMessage="0" showErrorMessage="1" allowBlank="1" errorTitle="Data set-up" error="Pick a value from the list (Lists sheet)." type="list">
      <formula1>=lst_Registration</formula1>
    </dataValidation>
    <dataValidation sqref="BA5" showDropDown="0" showInputMessage="0" showErrorMessage="1" allowBlank="1" errorTitle="Data set-up quarter" error="Pick a value from the list (Lists sheet)." type="list">
      <formula1>=lst_Quarter</formula1>
    </dataValidation>
    <dataValidation sqref="BB5" showDropDown="0" showInputMessage="0" showErrorMessage="1" allowBlank="1" errorTitle="Project comms" error="Pick a value from the list (Lists sheet)." type="list">
      <formula1>=lst_ProjectComms</formula1>
    </dataValidation>
    <dataValidation sqref="BC5" showDropDown="0" showInputMessage="0" showErrorMessage="1" allowBlank="1" errorTitle="Schematics" error="Pick a value from the list (Lists sheet)." type="list">
      <formula1>=lst_Schematics</formula1>
    </dataValidation>
    <dataValidation sqref="BD5" showDropDown="0" showInputMessage="0" showErrorMessage="1" allowBlank="1" errorTitle="Schematics same as" error="Pick a value from the list (Lists sheet)." type="list">
      <formula1>=lst_StoreOrMarket</formula1>
    </dataValidation>
    <dataValidation sqref="BE5" showDropDown="0" showInputMessage="0" showErrorMessage="1" allowBlank="1" errorTitle="Vendor set-up route" error="Pick a value from the list (Lists sheet)." type="list">
      <formula1>=lst_VendorRoute</formula1>
    </dataValidation>
    <dataValidation sqref="BF5" showDropDown="0" showInputMessage="0" showErrorMessage="1" allowBlank="1" errorTitle="Vendor set-up state" error="Pick a value from the list (Lists sheet)." type="list">
      <formula1>=lst_VendorState</formula1>
    </dataValidation>
    <dataValidation sqref="BH5" showDropDown="0" showInputMessage="0" showErrorMessage="1" allowBlank="1" errorTitle="ICF" error="Pick a value from the list (Lists sheet)." type="list">
      <formula1>=lst_ICF</formula1>
    </dataValidation>
    <dataValidation sqref="BI5" showDropDown="0" showInputMessage="0" showErrorMessage="1" allowBlank="1" errorTitle="Supplier opening form" error="Pick a value from the list (Lists sheet)." type="list">
      <formula1>=lst_SupplierForm</formula1>
    </dataValidation>
    <dataValidation sqref="BJ5" showDropDown="0" showInputMessage="0" showErrorMessage="1" allowBlank="1" errorTitle="Account opening form" error="Pick a value from the list (Lists sheet)." type="list">
      <formula1>=lst_AccountForm</formula1>
    </dataValidation>
    <dataValidation sqref="BK5" showDropDown="0" showInputMessage="0" showErrorMessage="1" allowBlank="1" errorTitle="Order shared" error="Pick a value from the list (Lists sheet)." type="list">
      <formula1>=lst_OrderShared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3" customWidth="1" min="3" max="3"/>
    <col width="13" customWidth="1" min="4" max="4"/>
    <col width="18" customWidth="1" min="5" max="5"/>
    <col width="22" customWidth="1" min="6" max="6"/>
    <col width="16" customWidth="1" min="7" max="7"/>
  </cols>
  <sheetData>
    <row r="1">
      <c r="A1" s="1" t="inlineStr">
        <is>
          <t>Brands</t>
        </is>
      </c>
      <c r="B1" t="inlineStr">
        <is>
          <t>Brand master. Lines counts the brand's lines.</t>
        </is>
      </c>
    </row>
    <row r="3">
      <c r="A3" s="2" t="inlineStr">
        <is>
          <t>Brands</t>
        </is>
      </c>
    </row>
    <row r="4">
      <c r="A4" s="11" t="inlineStr">
        <is>
          <t>Brand</t>
        </is>
      </c>
      <c r="B4" s="11" t="inlineStr">
        <is>
          <t>Host group</t>
        </is>
      </c>
      <c r="C4" s="11" t="inlineStr">
        <is>
          <t>Lines</t>
        </is>
      </c>
      <c r="D4" s="11" t="inlineStr">
        <is>
          <t>New brand</t>
        </is>
      </c>
      <c r="E4" s="11" t="inlineStr">
        <is>
          <t>New brand category</t>
        </is>
      </c>
      <c r="F4" s="11" t="inlineStr">
        <is>
          <t>New brand as written</t>
        </is>
      </c>
      <c r="G4" s="11" t="inlineStr">
        <is>
          <t>Source</t>
        </is>
      </c>
    </row>
  </sheetData>
  <dataValidations count="2">
    <dataValidation sqref="C5" showDropDown="0" showInputMessage="0" showErrorMessage="1" allowBlank="1" errorTitle="Lines" error="Enter a valid value." type="whole" operator="greaterThanOrEqual">
      <formula1>0</formula1>
    </dataValidation>
    <dataValidation sqref="D5" showDropDown="0" showInputMessage="0" showErrorMessage="1" allowBlank="1" errorTitle="New brand" error="Pick a value from the list (Lists sheet)." type="list">
      <formula1>=lst_YesNo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26" customWidth="1" min="5" max="5"/>
    <col width="26" customWidth="1" min="6" max="6"/>
    <col width="30" customWidth="1" min="7" max="7"/>
    <col width="13" customWidth="1" min="8" max="8"/>
    <col width="13" customWidth="1" min="9" max="9"/>
    <col width="18" customWidth="1" min="10" max="10"/>
    <col width="22" customWidth="1" min="11" max="11"/>
    <col width="13" customWidth="1" min="12" max="12"/>
    <col width="13" customWidth="1" min="13" max="13"/>
    <col width="13" customWidth="1" min="14" max="14"/>
    <col width="24" customWidth="1" min="15" max="15"/>
    <col width="16" customWidth="1" min="16" max="16"/>
  </cols>
  <sheetData>
    <row r="1">
      <c r="A1" s="1" t="inlineStr">
        <is>
          <t>Distribution by market</t>
        </is>
      </c>
      <c r="B1" t="inlineStr">
        <is>
          <t>One row per line and market: distributor, contacts as written, margin split into base, extra and terms.</t>
        </is>
      </c>
    </row>
    <row r="3">
      <c r="A3" s="2" t="inlineStr">
        <is>
          <t>Distribution</t>
        </is>
      </c>
    </row>
    <row r="4">
      <c r="A4" s="11" t="inlineStr">
        <is>
          <t>Line ID</t>
        </is>
      </c>
      <c r="B4" s="11" t="inlineStr">
        <is>
          <t>Brand</t>
        </is>
      </c>
      <c r="C4" s="11" t="inlineStr">
        <is>
          <t>Market</t>
        </is>
      </c>
      <c r="D4" s="11" t="inlineStr">
        <is>
          <t>Distribution status</t>
        </is>
      </c>
      <c r="E4" s="11" t="inlineStr">
        <is>
          <t>Distributor</t>
        </is>
      </c>
      <c r="F4" s="11" t="inlineStr">
        <is>
          <t>Distributor as written</t>
        </is>
      </c>
      <c r="G4" s="18" t="inlineStr">
        <is>
          <t>Contacts as written</t>
        </is>
      </c>
      <c r="H4" s="19" t="inlineStr">
        <is>
          <t>Margin</t>
        </is>
      </c>
      <c r="I4" s="19" t="inlineStr">
        <is>
          <t>Extra margin</t>
        </is>
      </c>
      <c r="J4" s="19" t="inlineStr">
        <is>
          <t>Margin terms</t>
        </is>
      </c>
      <c r="K4" s="19" t="inlineStr">
        <is>
          <t>Margin as written</t>
        </is>
      </c>
      <c r="L4" s="19" t="inlineStr">
        <is>
          <t>Exclusive</t>
        </is>
      </c>
      <c r="M4" s="19" t="inlineStr">
        <is>
          <t>Exclusive months</t>
        </is>
      </c>
      <c r="N4" s="19" t="inlineStr">
        <is>
          <t>Registration route</t>
        </is>
      </c>
      <c r="O4" s="19" t="inlineStr">
        <is>
          <t>Notes</t>
        </is>
      </c>
      <c r="P4" s="19" t="inlineStr">
        <is>
          <t>Source</t>
        </is>
      </c>
    </row>
  </sheetData>
  <dataValidations count="9">
    <dataValidation sqref="B5" showDropDown="0" showInputMessage="0" showErrorMessage="1" allowBlank="1" errorTitle="Brand" error="Pick a value from the list (Lists sheet)." type="list" errorStyle="warning">
      <formula1>=lst_Brand</formula1>
    </dataValidation>
    <dataValidation sqref="C5" showDropDown="0" showInputMessage="0" showErrorMessage="1" allowBlank="1" errorTitle="Market" error="Pick a value from the list (Lists sheet)." type="list">
      <formula1>=lst_Market</formula1>
    </dataValidation>
    <dataValidation sqref="D5" showDropDown="0" showInputMessage="0" showErrorMessage="1" allowBlank="1" errorTitle="Distribution status" error="Pick a value from the list (Lists sheet)." type="list">
      <formula1>=lst_DistStatus</formula1>
    </dataValidation>
    <dataValidation sqref="E5" showDropDown="0" showInputMessage="0" showErrorMessage="1" allowBlank="1" errorTitle="Distributor" error="Pick a value from the list (Lists sheet)." type="list" errorStyle="warning">
      <formula1>=lst_Vendor</formula1>
    </dataValidation>
    <dataValidation sqref="H5" showDropDown="0" showInputMessage="0" showErrorMessage="1" allowBlank="1" errorTitle="Margin" error="Enter a valid value." type="decimal" operator="greaterThanOrEqual">
      <formula1>0</formula1>
    </dataValidation>
    <dataValidation sqref="I5" showDropDown="0" showInputMessage="0" showErrorMessage="1" allowBlank="1" errorTitle="Extra margin" error="Enter a valid value." type="decimal" operator="greaterThanOrEqual">
      <formula1>0</formula1>
    </dataValidation>
    <dataValidation sqref="L5" showDropDown="0" showInputMessage="0" showErrorMessage="1" allowBlank="1" errorTitle="Exclusive" error="Pick a value from the list (Lists sheet)." type="list">
      <formula1>=lst_Exclusivity</formula1>
    </dataValidation>
    <dataValidation sqref="M5" showDropDown="0" showInputMessage="0" showErrorMessage="1" allowBlank="1" errorTitle="Exclusive months" error="Enter a valid value." type="whole" operator="greaterThanOrEqual">
      <formula1>0</formula1>
    </dataValidation>
    <dataValidation sqref="N5" showDropDown="0" showInputMessage="0" showErrorMessage="1" allowBlank="1" errorTitle="Registration route" error="Pick a value from the list (Lists sheet)." type="list">
      <formula1>=lst_RegRoute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3" customWidth="1" min="4" max="4"/>
    <col width="30" customWidth="1" min="6" max="6"/>
    <col width="13" customWidth="1" min="7" max="7"/>
    <col width="40" customWidth="1" min="8" max="8"/>
    <col width="34" customWidth="1" min="9" max="9"/>
    <col width="13" customWidth="1" min="10" max="10"/>
    <col width="26" customWidth="1" min="12" max="12"/>
    <col width="22" customWidth="1" min="13" max="13"/>
    <col width="16" customWidth="1" min="14" max="14"/>
    <col width="20" customWidth="1" min="15" max="15"/>
    <col width="20" customWidth="1" min="16" max="16"/>
    <col width="22" customWidth="1" min="17" max="17"/>
    <col width="16" customWidth="1" min="18" max="18"/>
    <col width="13" customWidth="1" min="19" max="19"/>
    <col width="14" customWidth="1" min="20" max="20"/>
    <col width="24" customWidth="1" min="22" max="22"/>
    <col width="26" customWidth="1" min="23" max="23"/>
    <col width="18" customWidth="1" min="24" max="24"/>
    <col width="16" customWidth="1" min="25" max="25"/>
    <col width="20" customWidth="1" min="26" max="26"/>
    <col width="14" customWidth="1" min="27" max="27"/>
  </cols>
  <sheetData>
    <row r="1">
      <c r="A1" s="1" t="inlineStr">
        <is>
          <t>Vendors &amp; contacts</t>
        </is>
      </c>
      <c r="B1" t="inlineStr">
        <is>
          <t>Vendor directory with the spellings found, contacts, vendor packs and brand lists.</t>
        </is>
      </c>
    </row>
    <row r="3">
      <c r="A3" s="2" t="inlineStr">
        <is>
          <t>Vendors</t>
        </is>
      </c>
      <c r="F3" s="2" t="inlineStr">
        <is>
          <t>Contacts</t>
        </is>
      </c>
      <c r="L3" s="2" t="inlineStr">
        <is>
          <t>VendorPacks</t>
        </is>
      </c>
      <c r="V3" s="2" t="inlineStr">
        <is>
          <t>BrandLists</t>
        </is>
      </c>
    </row>
    <row r="4">
      <c r="A4" s="11" t="inlineStr">
        <is>
          <t>Vendor</t>
        </is>
      </c>
      <c r="B4" s="11" t="inlineStr">
        <is>
          <t>Aliases as written</t>
        </is>
      </c>
      <c r="C4" s="11" t="inlineStr">
        <is>
          <t>Markets</t>
        </is>
      </c>
      <c r="D4" s="11" t="inlineStr">
        <is>
          <t>Lines</t>
        </is>
      </c>
      <c r="F4" s="11" t="inlineStr">
        <is>
          <t>Vendor</t>
        </is>
      </c>
      <c r="G4" s="11" t="inlineStr">
        <is>
          <t>Market</t>
        </is>
      </c>
      <c r="H4" s="11" t="inlineStr">
        <is>
          <t>Contact as written</t>
        </is>
      </c>
      <c r="I4" s="11" t="inlineStr">
        <is>
          <t>Emails</t>
        </is>
      </c>
      <c r="J4" s="11" t="inlineStr">
        <is>
          <t>Lines</t>
        </is>
      </c>
      <c r="L4" s="11" t="inlineStr">
        <is>
          <t>Vendor</t>
        </is>
      </c>
      <c r="M4" s="11" t="inlineStr">
        <is>
          <t>Brand</t>
        </is>
      </c>
      <c r="N4" s="11" t="inlineStr">
        <is>
          <t>Category</t>
        </is>
      </c>
      <c r="O4" s="11" t="inlineStr">
        <is>
          <t>Store 1 fixture</t>
        </is>
      </c>
      <c r="P4" s="11" t="inlineStr">
        <is>
          <t>Store 2 fixture</t>
        </is>
      </c>
      <c r="Q4" s="11" t="inlineStr">
        <is>
          <t>Vendor pack</t>
        </is>
      </c>
      <c r="R4" s="11" t="inlineStr">
        <is>
          <t>Fixture reference</t>
        </is>
      </c>
      <c r="S4" s="11" t="inlineStr">
        <is>
          <t>Shelves note</t>
        </is>
      </c>
      <c r="T4" s="11" t="inlineStr">
        <is>
          <t>Source</t>
        </is>
      </c>
      <c r="V4" s="11" t="inlineStr">
        <is>
          <t>List</t>
        </is>
      </c>
      <c r="W4" s="11" t="inlineStr">
        <is>
          <t>Entry</t>
        </is>
      </c>
      <c r="X4" s="11" t="inlineStr">
        <is>
          <t>Vendor</t>
        </is>
      </c>
      <c r="Y4" s="11" t="inlineStr">
        <is>
          <t>Category</t>
        </is>
      </c>
      <c r="Z4" s="11" t="inlineStr">
        <is>
          <t>Fixture</t>
        </is>
      </c>
      <c r="AA4" s="11" t="inlineStr">
        <is>
          <t>Source</t>
        </is>
      </c>
    </row>
  </sheetData>
  <dataValidations count="4">
    <dataValidation sqref="D5" showDropDown="0" showInputMessage="0" showErrorMessage="1" allowBlank="1" errorTitle="Lines" error="Enter a valid value." type="whole" operator="greaterThanOrEqual">
      <formula1>0</formula1>
    </dataValidation>
    <dataValidation sqref="F5" showDropDown="0" showInputMessage="0" showErrorMessage="1" allowBlank="1" errorTitle="Vendor" error="Pick a value from the list (Lists sheet)." type="list" errorStyle="warning">
      <formula1>=lst_Vendor</formula1>
    </dataValidation>
    <dataValidation sqref="G5" showDropDown="0" showInputMessage="0" showErrorMessage="1" allowBlank="1" errorTitle="Market" error="Pick a value from the list (Lists sheet)." type="list">
      <formula1>=lst_Market</formula1>
    </dataValidation>
    <dataValidation sqref="J5" showDropDown="0" showInputMessage="0" showErrorMessage="1" allowBlank="1" errorTitle="Lines" error="Enter a valid value." type="whole" operator="greaterThanOrEqual">
      <formula1>0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40" customWidth="1" min="4" max="4"/>
    <col width="13" customWidth="1" min="6" max="6"/>
    <col width="22" customWidth="1" min="7" max="7"/>
    <col width="13" customWidth="1" min="8" max="8"/>
    <col width="13" customWidth="1" min="9" max="9"/>
    <col width="13" customWidth="1" min="10" max="10"/>
    <col width="16" customWidth="1" min="11" max="11"/>
    <col width="16" customWidth="1" min="12" max="12"/>
    <col width="13" customWidth="1" min="14" max="14"/>
    <col width="18" customWidth="1" min="15" max="15"/>
    <col width="16" customWidth="1" min="16" max="16"/>
    <col width="13" customWidth="1" min="17" max="17"/>
    <col width="14" customWidth="1" min="18" max="18"/>
    <col width="13" customWidth="1" min="20" max="20"/>
    <col width="22" customWidth="1" min="21" max="21"/>
    <col width="13" customWidth="1" min="22" max="22"/>
    <col width="24" customWidth="1" min="23" max="23"/>
    <col width="14" customWidth="1" min="24" max="24"/>
    <col width="13" customWidth="1" min="25" max="25"/>
    <col width="13" customWidth="1" min="26" max="26"/>
    <col width="13" customWidth="1" min="27" max="27"/>
    <col width="14" customWidth="1" min="28" max="28"/>
  </cols>
  <sheetData>
    <row r="1">
      <c r="A1" s="1" t="inlineStr">
        <is>
          <t>Stores &amp; capacity</t>
        </is>
      </c>
      <c r="B1" t="inlineStr">
        <is>
          <t>Launches, stores, fixture capacity per store, and reference-store fixtures per line.</t>
        </is>
      </c>
    </row>
    <row r="3">
      <c r="A3" s="2" t="inlineStr">
        <is>
          <t>Launches</t>
        </is>
      </c>
      <c r="F3" s="2" t="inlineStr">
        <is>
          <t>Stores</t>
        </is>
      </c>
      <c r="N3" s="2" t="inlineStr">
        <is>
          <t>Capacity</t>
        </is>
      </c>
      <c r="T3" s="2" t="inlineStr">
        <is>
          <t>RefFixtures</t>
        </is>
      </c>
    </row>
    <row r="4">
      <c r="A4" s="11" t="inlineStr">
        <is>
          <t>Launch</t>
        </is>
      </c>
      <c r="B4" s="11" t="inlineStr">
        <is>
          <t>Market</t>
        </is>
      </c>
      <c r="C4" s="11" t="inlineStr">
        <is>
          <t>Stores</t>
        </is>
      </c>
      <c r="D4" s="11" t="inlineStr">
        <is>
          <t>Description</t>
        </is>
      </c>
      <c r="F4" s="11" t="inlineStr">
        <is>
          <t>Code</t>
        </is>
      </c>
      <c r="G4" s="11" t="inlineStr">
        <is>
          <t>Name</t>
        </is>
      </c>
      <c r="H4" s="11" t="inlineStr">
        <is>
          <t>Market</t>
        </is>
      </c>
      <c r="I4" s="11" t="inlineStr">
        <is>
          <t>Role</t>
        </is>
      </c>
      <c r="J4" s="11" t="inlineStr">
        <is>
          <t>Opening</t>
        </is>
      </c>
      <c r="K4" s="11" t="inlineStr">
        <is>
          <t>Opening note</t>
        </is>
      </c>
      <c r="L4" s="11" t="inlineStr">
        <is>
          <t>Aliases</t>
        </is>
      </c>
      <c r="N4" s="11" t="inlineStr">
        <is>
          <t>Store</t>
        </is>
      </c>
      <c r="O4" s="11" t="inlineStr">
        <is>
          <t>Category</t>
        </is>
      </c>
      <c r="P4" s="11" t="inlineStr">
        <is>
          <t>Fixture type</t>
        </is>
      </c>
      <c r="Q4" s="11" t="inlineStr">
        <is>
          <t>Count</t>
        </is>
      </c>
      <c r="R4" s="11" t="inlineStr">
        <is>
          <t>Source</t>
        </is>
      </c>
      <c r="T4" s="11" t="inlineStr">
        <is>
          <t>Line ID</t>
        </is>
      </c>
      <c r="U4" s="11" t="inlineStr">
        <is>
          <t>Brand</t>
        </is>
      </c>
      <c r="V4" s="11" t="inlineStr">
        <is>
          <t>Store</t>
        </is>
      </c>
      <c r="W4" s="11" t="inlineStr">
        <is>
          <t>Fixture as written</t>
        </is>
      </c>
      <c r="X4" s="11" t="inlineStr">
        <is>
          <t>Fixture type</t>
        </is>
      </c>
      <c r="Y4" s="11" t="inlineStr">
        <is>
          <t>Width ft</t>
        </is>
      </c>
      <c r="Z4" s="11" t="inlineStr">
        <is>
          <t>Shelves</t>
        </is>
      </c>
      <c r="AA4" s="11" t="inlineStr">
        <is>
          <t>Temporary</t>
        </is>
      </c>
      <c r="AB4" s="11" t="inlineStr">
        <is>
          <t>Source</t>
        </is>
      </c>
    </row>
  </sheetData>
  <dataValidations count="12">
    <dataValidation sqref="B5" showDropDown="0" showInputMessage="0" showErrorMessage="1" allowBlank="1" errorTitle="Market" error="Pick a value from the list (Lists sheet)." type="list">
      <formula1>=lst_Market</formula1>
    </dataValidation>
    <dataValidation sqref="H5" showDropDown="0" showInputMessage="0" showErrorMessage="1" allowBlank="1" errorTitle="Market" error="Pick a value from the list (Lists sheet)." type="list">
      <formula1>=lst_Market</formula1>
    </dataValidation>
    <dataValidation sqref="I5" showDropDown="0" showInputMessage="0" showErrorMessage="1" allowBlank="1" errorTitle="Role" error="Pick a value from the list (Lists sheet)." type="list">
      <formula1>=lst_StoreRole</formula1>
    </dataValidation>
    <dataValidation sqref="J5" showDropDown="0" showInputMessage="0" showErrorMessage="1" allowBlank="1" errorTitle="Opening" error="Enter a valid value." type="date" operator="greaterThan">
      <formula1>36526</formula1>
    </dataValidation>
    <dataValidation sqref="N5" showDropDown="0" showInputMessage="0" showErrorMessage="1" allowBlank="1" errorTitle="Store" error="Pick a value from the list (Lists sheet)." type="list">
      <formula1>=lst_Store</formula1>
    </dataValidation>
    <dataValidation sqref="P5" showDropDown="0" showInputMessage="0" showErrorMessage="1" allowBlank="1" errorTitle="Fixture type" error="Pick a value from the list (Lists sheet)." type="list">
      <formula1>=lst_FixtureType</formula1>
    </dataValidation>
    <dataValidation sqref="Q5" showDropDown="0" showInputMessage="0" showErrorMessage="1" allowBlank="1" errorTitle="Count" error="Enter a valid value." type="whole" operator="greaterThanOrEqual">
      <formula1>0</formula1>
    </dataValidation>
    <dataValidation sqref="V5" showDropDown="0" showInputMessage="0" showErrorMessage="1" allowBlank="1" errorTitle="Store" error="Pick a value from the list (Lists sheet)." type="list">
      <formula1>=lst_Store</formula1>
    </dataValidation>
    <dataValidation sqref="X5" showDropDown="0" showInputMessage="0" showErrorMessage="1" allowBlank="1" errorTitle="Fixture type" error="Pick a value from the list (Lists sheet)." type="list">
      <formula1>=lst_FixtureType</formula1>
    </dataValidation>
    <dataValidation sqref="Y5" showDropDown="0" showInputMessage="0" showErrorMessage="1" allowBlank="1" errorTitle="Width ft" error="Enter a valid value." type="decimal" operator="greaterThanOrEqual">
      <formula1>0</formula1>
    </dataValidation>
    <dataValidation sqref="Z5" showDropDown="0" showInputMessage="0" showErrorMessage="1" allowBlank="1" errorTitle="Shelves" error="Enter a valid value." type="whole" operator="greaterThanOrEqual">
      <formula1>0</formula1>
    </dataValidation>
    <dataValidation sqref="AA5" showDropDown="0" showInputMessage="0" showErrorMessage="1" allowBlank="1" errorTitle="Temporary" error="Pick a value from the list (Lists sheet)." type="list">
      <formula1>=lst_YesNo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0" customWidth="1" min="4" max="4"/>
    <col width="20" customWidth="1" min="5" max="5"/>
    <col width="20" customWidth="1" min="6" max="6"/>
    <col width="16" customWidth="1" min="7" max="7"/>
    <col width="2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24" customWidth="1" min="21" max="21"/>
    <col width="14" customWidth="1" min="22" max="22"/>
  </cols>
  <sheetData>
    <row r="1">
      <c r="A1" s="1" t="inlineStr">
        <is>
          <t>Installs &amp; deliveries</t>
        </is>
      </c>
      <c r="B1" t="inlineStr">
        <is>
          <t>One row per line (or brand) and store: install window, contractor, delivery, VM status.</t>
        </is>
      </c>
    </row>
    <row r="3">
      <c r="A3" s="2" t="inlineStr">
        <is>
          <t>Installs</t>
        </is>
      </c>
    </row>
    <row r="4">
      <c r="A4" s="11" t="inlineStr">
        <is>
          <t>Line ID</t>
        </is>
      </c>
      <c r="B4" s="11" t="inlineStr">
        <is>
          <t>Store</t>
        </is>
      </c>
      <c r="C4" s="11" t="inlineStr">
        <is>
          <t>Host group</t>
        </is>
      </c>
      <c r="D4" s="11" t="inlineStr">
        <is>
          <t>Vendor</t>
        </is>
      </c>
      <c r="E4" s="11" t="inlineStr">
        <is>
          <t>Vendor as written</t>
        </is>
      </c>
      <c r="F4" s="11" t="inlineStr">
        <is>
          <t>Brand</t>
        </is>
      </c>
      <c r="G4" s="11" t="inlineStr">
        <is>
          <t>Zone as written</t>
        </is>
      </c>
      <c r="H4" s="11" t="inlineStr">
        <is>
          <t>Fixture as written</t>
        </is>
      </c>
      <c r="I4" s="11" t="inlineStr">
        <is>
          <t>Same fixture as</t>
        </is>
      </c>
      <c r="J4" s="11" t="inlineStr">
        <is>
          <t>Vendor pack</t>
        </is>
      </c>
      <c r="K4" s="11" t="inlineStr">
        <is>
          <t>Install start</t>
        </is>
      </c>
      <c r="L4" s="11" t="inlineStr">
        <is>
          <t>Install end</t>
        </is>
      </c>
      <c r="M4" s="11" t="inlineStr">
        <is>
          <t>Install status</t>
        </is>
      </c>
      <c r="N4" s="11" t="inlineStr">
        <is>
          <t>Contractor</t>
        </is>
      </c>
      <c r="O4" s="11" t="inlineStr">
        <is>
          <t>Delivery date</t>
        </is>
      </c>
      <c r="P4" s="11" t="inlineStr">
        <is>
          <t>Delivery status</t>
        </is>
      </c>
      <c r="Q4" s="11" t="inlineStr">
        <is>
          <t>VM status</t>
        </is>
      </c>
      <c r="R4" s="11" t="inlineStr">
        <is>
          <t>Wall perimeter</t>
        </is>
      </c>
      <c r="S4" s="11" t="inlineStr">
        <is>
          <t>Email sent</t>
        </is>
      </c>
      <c r="T4" s="11" t="inlineStr">
        <is>
          <t>Email sent by</t>
        </is>
      </c>
      <c r="U4" s="11" t="inlineStr">
        <is>
          <t>Notes</t>
        </is>
      </c>
      <c r="V4" s="11" t="inlineStr">
        <is>
          <t>Source</t>
        </is>
      </c>
    </row>
  </sheetData>
  <dataValidations count="11">
    <dataValidation sqref="B5" showDropDown="0" showInputMessage="0" showErrorMessage="1" allowBlank="1" errorTitle="Store" error="Pick a value from the list (Lists sheet)." type="list">
      <formula1>=lst_Store</formula1>
    </dataValidation>
    <dataValidation sqref="D5" showDropDown="0" showInputMessage="0" showErrorMessage="1" allowBlank="1" errorTitle="Vendor" error="Pick a value from the list (Lists sheet)." type="list" errorStyle="warning">
      <formula1>=lst_Vendor</formula1>
    </dataValidation>
    <dataValidation sqref="I5" showDropDown="0" showInputMessage="0" showErrorMessage="1" allowBlank="1" errorTitle="Same fixture as" error="Pick a value from the list (Lists sheet)." type="list">
      <formula1>=lst_StoreOrMarket</formula1>
    </dataValidation>
    <dataValidation sqref="K5" showDropDown="0" showInputMessage="0" showErrorMessage="1" allowBlank="1" errorTitle="Install start" error="Enter a valid value." type="date" operator="greaterThan">
      <formula1>36526</formula1>
    </dataValidation>
    <dataValidation sqref="L5" showDropDown="0" showInputMessage="0" showErrorMessage="1" allowBlank="1" errorTitle="Install end" error="Enter a valid value." type="date" operator="greaterThan">
      <formula1>36526</formula1>
    </dataValidation>
    <dataValidation sqref="M5" showDropDown="0" showInputMessage="0" showErrorMessage="1" allowBlank="1" errorTitle="Install status" error="Pick a value from the list (Lists sheet)." type="list">
      <formula1>=lst_InstallStatus</formula1>
    </dataValidation>
    <dataValidation sqref="O5" showDropDown="0" showInputMessage="0" showErrorMessage="1" allowBlank="1" errorTitle="Delivery date" error="Enter a valid value." type="date" operator="greaterThan">
      <formula1>36526</formula1>
    </dataValidation>
    <dataValidation sqref="P5" showDropDown="0" showInputMessage="0" showErrorMessage="1" allowBlank="1" errorTitle="Delivery status" error="Pick a value from the list (Lists sheet)." type="list">
      <formula1>=lst_DeliveryStatus</formula1>
    </dataValidation>
    <dataValidation sqref="Q5" showDropDown="0" showInputMessage="0" showErrorMessage="1" allowBlank="1" errorTitle="VM status" error="Pick a value from the list (Lists sheet)." type="list">
      <formula1>=lst_VMStatus</formula1>
    </dataValidation>
    <dataValidation sqref="R5" showDropDown="0" showInputMessage="0" showErrorMessage="1" allowBlank="1" errorTitle="Wall perimeter" error="Pick a value from the list (Lists sheet)." type="list">
      <formula1>=lst_YesNo</formula1>
    </dataValidation>
    <dataValidation sqref="S5" showDropDown="0" showInputMessage="0" showErrorMessage="1" allowBlank="1" errorTitle="Email sent" error="Enter a valid value." type="date" operator="greaterThan">
      <formula1>36526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3" customWidth="1" min="4" max="4"/>
    <col width="13" customWidth="1" min="5" max="5"/>
    <col width="44" customWidth="1" min="6" max="6"/>
    <col width="14" customWidth="1" min="7" max="7"/>
    <col width="14" customWidth="1" min="9" max="9"/>
    <col width="18" customWidth="1" min="10" max="10"/>
    <col width="22" customWidth="1" min="11" max="11"/>
    <col width="14" customWidth="1" min="12" max="12"/>
    <col width="14" customWidth="1" min="13" max="13"/>
  </cols>
  <sheetData>
    <row r="1">
      <c r="A1" s="1" t="inlineStr">
        <is>
          <t>Market visits</t>
        </is>
      </c>
      <c r="B1" t="inlineStr">
        <is>
          <t>Market-visit agenda and the brands each vendor brings.</t>
        </is>
      </c>
    </row>
    <row r="3">
      <c r="A3" s="2" t="inlineStr">
        <is>
          <t>Agenda</t>
        </is>
      </c>
      <c r="I3" s="2" t="inlineStr">
        <is>
          <t>VisitBrands</t>
        </is>
      </c>
    </row>
    <row r="4">
      <c r="A4" s="11" t="inlineStr">
        <is>
          <t>Visit</t>
        </is>
      </c>
      <c r="B4" s="11" t="inlineStr">
        <is>
          <t>Day as written</t>
        </is>
      </c>
      <c r="C4" s="11" t="inlineStr">
        <is>
          <t>Date</t>
        </is>
      </c>
      <c r="D4" s="11" t="inlineStr">
        <is>
          <t>Person</t>
        </is>
      </c>
      <c r="E4" s="11" t="inlineStr">
        <is>
          <t>Time</t>
        </is>
      </c>
      <c r="F4" s="11" t="inlineStr">
        <is>
          <t>Activity</t>
        </is>
      </c>
      <c r="G4" s="11" t="inlineStr">
        <is>
          <t>Source</t>
        </is>
      </c>
      <c r="I4" s="11" t="inlineStr">
        <is>
          <t>Visit</t>
        </is>
      </c>
      <c r="J4" s="11" t="inlineStr">
        <is>
          <t>Vendor</t>
        </is>
      </c>
      <c r="K4" s="11" t="inlineStr">
        <is>
          <t>Brand</t>
        </is>
      </c>
      <c r="L4" s="11" t="inlineStr">
        <is>
          <t>Category</t>
        </is>
      </c>
      <c r="M4" s="11" t="inlineStr">
        <is>
          <t>Source</t>
        </is>
      </c>
    </row>
  </sheetData>
  <dataValidations count="1">
    <dataValidation sqref="C5" showDropDown="0" showInputMessage="0" showErrorMessage="1" allowBlank="1" errorTitle="Date" error="Enter a valid value." type="date" operator="greaterThan">
      <formula1>36526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4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</cols>
  <sheetData>
    <row r="1">
      <c r="A1" s="1" t="inlineStr">
        <is>
          <t>US NPD &amp; replenishment</t>
        </is>
      </c>
      <c r="B1" t="inlineStr">
        <is>
          <t>US new products, replenishments and new brands, with ETA per market.</t>
        </is>
      </c>
    </row>
    <row r="3">
      <c r="A3" s="2" t="inlineStr">
        <is>
          <t>NPD</t>
        </is>
      </c>
    </row>
    <row r="4">
      <c r="A4" s="11" t="inlineStr">
        <is>
          <t>Type</t>
        </is>
      </c>
      <c r="B4" s="11" t="inlineStr">
        <is>
          <t>Brand</t>
        </is>
      </c>
      <c r="C4" s="11" t="inlineStr">
        <is>
          <t>NPD or focus</t>
        </is>
      </c>
      <c r="D4" s="11" t="inlineStr">
        <is>
          <t>Sizing sent</t>
        </is>
      </c>
      <c r="E4" s="11" t="inlineStr">
        <is>
          <t>Picked up from US DC</t>
        </is>
      </c>
      <c r="F4" s="11" t="inlineStr">
        <is>
          <t>ETA UAE</t>
        </is>
      </c>
      <c r="G4" s="11" t="inlineStr">
        <is>
          <t>ETA KWT</t>
        </is>
      </c>
      <c r="H4" s="11" t="inlineStr">
        <is>
          <t>ETA KSA</t>
        </is>
      </c>
      <c r="I4" s="11" t="inlineStr">
        <is>
          <t>ETA QAT</t>
        </is>
      </c>
      <c r="J4" s="11" t="inlineStr">
        <is>
          <t>Source</t>
        </is>
      </c>
    </row>
  </sheetData>
  <dataValidations count="6">
    <dataValidation sqref="A5" showDropDown="0" showInputMessage="0" showErrorMessage="1" allowBlank="1" errorTitle="Type" error="Pick a value from the list (Lists sheet)." type="list">
      <formula1>=lst_NPDType</formula1>
    </dataValidation>
    <dataValidation sqref="D5" showDropDown="0" showInputMessage="0" showErrorMessage="1" allowBlank="1" errorTitle="Sizing sent" error="Enter a valid value." type="date" operator="greaterThan">
      <formula1>36526</formula1>
    </dataValidation>
    <dataValidation sqref="F5" showDropDown="0" showInputMessage="0" showErrorMessage="1" allowBlank="1" errorTitle="ETA UAE" error="Enter a valid value." type="date" operator="greaterThan">
      <formula1>36526</formula1>
    </dataValidation>
    <dataValidation sqref="G5" showDropDown="0" showInputMessage="0" showErrorMessage="1" allowBlank="1" errorTitle="ETA KWT" error="Enter a valid value." type="date" operator="greaterThan">
      <formula1>36526</formula1>
    </dataValidation>
    <dataValidation sqref="H5" showDropDown="0" showInputMessage="0" showErrorMessage="1" allowBlank="1" errorTitle="ETA KSA" error="Enter a valid value." type="date" operator="greaterThan">
      <formula1>36526</formula1>
    </dataValidation>
    <dataValidation sqref="I5" showDropDown="0" showInputMessage="0" showErrorMessage="1" allowBlank="1" errorTitle="ETA QAT" error="Enter a valid value." type="date" operator="greaterThan">
      <formula1>36526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Launch dashboard</t>
        </is>
      </c>
    </row>
    <row r="2">
      <c r="A2" t="inlineStr">
        <is>
          <t>Every number is a formula over the tables. Change the yellow cells to look at another launch or store.</t>
        </is>
      </c>
    </row>
    <row r="4">
      <c r="A4" t="inlineStr">
        <is>
          <t>Launch</t>
        </is>
      </c>
      <c r="B4" s="6" t="n"/>
    </row>
    <row r="5">
      <c r="A5" t="inlineStr">
        <is>
          <t>Stores</t>
        </is>
      </c>
      <c r="B5" s="6" t="n"/>
      <c r="C5" s="6" t="n"/>
      <c r="D5" s="6" t="n"/>
      <c r="E5" s="6" t="n"/>
    </row>
    <row r="7">
      <c r="A7" s="2" t="inlineStr">
        <is>
          <t>Lines in launch</t>
        </is>
      </c>
      <c r="B7">
        <f>COUNTIFS(tblLines[Launch],$B$4)</f>
        <v/>
      </c>
    </row>
    <row r="9">
      <c r="A9" s="2" t="inlineStr">
        <is>
          <t>Brands listed per zone and store</t>
        </is>
      </c>
      <c r="B9" s="2">
        <f>IF(B$5="","",B$5)</f>
        <v/>
      </c>
      <c r="C9" s="2">
        <f>IF(C$5="","",C$5)</f>
        <v/>
      </c>
      <c r="D9" s="2">
        <f>IF(D$5="","",D$5)</f>
        <v/>
      </c>
      <c r="E9" s="2">
        <f>IF(E$5="","",E$5)</f>
        <v/>
      </c>
    </row>
    <row r="10">
      <c r="A10">
        <f>INDEX(lst_Zone,1)</f>
        <v/>
      </c>
      <c r="B10">
        <f>IF(B$5="","",COUNTIFS(tblLines[Store 1],B$5,tblLines[S1 Listing],"Yes",tblLines[Zone],$A10)+COUNTIFS(tblLines[Store 2],B$5,tblLines[S2 Listing],"Yes",tblLines[Zone],$A10))</f>
        <v/>
      </c>
      <c r="C10">
        <f>IF(C$5="","",COUNTIFS(tblLines[Store 1],C$5,tblLines[S1 Listing],"Yes",tblLines[Zone],$A10)+COUNTIFS(tblLines[Store 2],C$5,tblLines[S2 Listing],"Yes",tblLines[Zone],$A10))</f>
        <v/>
      </c>
      <c r="D10">
        <f>IF(D$5="","",COUNTIFS(tblLines[Store 1],D$5,tblLines[S1 Listing],"Yes",tblLines[Zone],$A10)+COUNTIFS(tblLines[Store 2],D$5,tblLines[S2 Listing],"Yes",tblLines[Zone],$A10))</f>
        <v/>
      </c>
      <c r="E10">
        <f>IF(E$5="","",COUNTIFS(tblLines[Store 1],E$5,tblLines[S1 Listing],"Yes",tblLines[Zone],$A10)+COUNTIFS(tblLines[Store 2],E$5,tblLines[S2 Listing],"Yes",tblLines[Zone],$A10))</f>
        <v/>
      </c>
    </row>
    <row r="11">
      <c r="A11">
        <f>INDEX(lst_Zone,2)</f>
        <v/>
      </c>
      <c r="B11">
        <f>IF(B$5="","",COUNTIFS(tblLines[Store 1],B$5,tblLines[S1 Listing],"Yes",tblLines[Zone],$A11)+COUNTIFS(tblLines[Store 2],B$5,tblLines[S2 Listing],"Yes",tblLines[Zone],$A11))</f>
        <v/>
      </c>
      <c r="C11">
        <f>IF(C$5="","",COUNTIFS(tblLines[Store 1],C$5,tblLines[S1 Listing],"Yes",tblLines[Zone],$A11)+COUNTIFS(tblLines[Store 2],C$5,tblLines[S2 Listing],"Yes",tblLines[Zone],$A11))</f>
        <v/>
      </c>
      <c r="D11">
        <f>IF(D$5="","",COUNTIFS(tblLines[Store 1],D$5,tblLines[S1 Listing],"Yes",tblLines[Zone],$A11)+COUNTIFS(tblLines[Store 2],D$5,tblLines[S2 Listing],"Yes",tblLines[Zone],$A11))</f>
        <v/>
      </c>
      <c r="E11">
        <f>IF(E$5="","",COUNTIFS(tblLines[Store 1],E$5,tblLines[S1 Listing],"Yes",tblLines[Zone],$A11)+COUNTIFS(tblLines[Store 2],E$5,tblLines[S2 Listing],"Yes",tblLines[Zone],$A11))</f>
        <v/>
      </c>
    </row>
    <row r="12">
      <c r="A12">
        <f>INDEX(lst_Zone,3)</f>
        <v/>
      </c>
      <c r="B12">
        <f>IF(B$5="","",COUNTIFS(tblLines[Store 1],B$5,tblLines[S1 Listing],"Yes",tblLines[Zone],$A12)+COUNTIFS(tblLines[Store 2],B$5,tblLines[S2 Listing],"Yes",tblLines[Zone],$A12))</f>
        <v/>
      </c>
      <c r="C12">
        <f>IF(C$5="","",COUNTIFS(tblLines[Store 1],C$5,tblLines[S1 Listing],"Yes",tblLines[Zone],$A12)+COUNTIFS(tblLines[Store 2],C$5,tblLines[S2 Listing],"Yes",tblLines[Zone],$A12))</f>
        <v/>
      </c>
      <c r="D12">
        <f>IF(D$5="","",COUNTIFS(tblLines[Store 1],D$5,tblLines[S1 Listing],"Yes",tblLines[Zone],$A12)+COUNTIFS(tblLines[Store 2],D$5,tblLines[S2 Listing],"Yes",tblLines[Zone],$A12))</f>
        <v/>
      </c>
      <c r="E12">
        <f>IF(E$5="","",COUNTIFS(tblLines[Store 1],E$5,tblLines[S1 Listing],"Yes",tblLines[Zone],$A12)+COUNTIFS(tblLines[Store 2],E$5,tblLines[S2 Listing],"Yes",tblLines[Zone],$A12))</f>
        <v/>
      </c>
    </row>
    <row r="13">
      <c r="A13">
        <f>INDEX(lst_Zone,4)</f>
        <v/>
      </c>
      <c r="B13">
        <f>IF(B$5="","",COUNTIFS(tblLines[Store 1],B$5,tblLines[S1 Listing],"Yes",tblLines[Zone],$A13)+COUNTIFS(tblLines[Store 2],B$5,tblLines[S2 Listing],"Yes",tblLines[Zone],$A13))</f>
        <v/>
      </c>
      <c r="C13">
        <f>IF(C$5="","",COUNTIFS(tblLines[Store 1],C$5,tblLines[S1 Listing],"Yes",tblLines[Zone],$A13)+COUNTIFS(tblLines[Store 2],C$5,tblLines[S2 Listing],"Yes",tblLines[Zone],$A13))</f>
        <v/>
      </c>
      <c r="D13">
        <f>IF(D$5="","",COUNTIFS(tblLines[Store 1],D$5,tblLines[S1 Listing],"Yes",tblLines[Zone],$A13)+COUNTIFS(tblLines[Store 2],D$5,tblLines[S2 Listing],"Yes",tblLines[Zone],$A13))</f>
        <v/>
      </c>
      <c r="E13">
        <f>IF(E$5="","",COUNTIFS(tblLines[Store 1],E$5,tblLines[S1 Listing],"Yes",tblLines[Zone],$A13)+COUNTIFS(tblLines[Store 2],E$5,tblLines[S2 Listing],"Yes",tblLines[Zone],$A13))</f>
        <v/>
      </c>
    </row>
    <row r="14">
      <c r="A14">
        <f>INDEX(lst_Zone,5)</f>
        <v/>
      </c>
      <c r="B14">
        <f>IF(B$5="","",COUNTIFS(tblLines[Store 1],B$5,tblLines[S1 Listing],"Yes",tblLines[Zone],$A14)+COUNTIFS(tblLines[Store 2],B$5,tblLines[S2 Listing],"Yes",tblLines[Zone],$A14))</f>
        <v/>
      </c>
      <c r="C14">
        <f>IF(C$5="","",COUNTIFS(tblLines[Store 1],C$5,tblLines[S1 Listing],"Yes",tblLines[Zone],$A14)+COUNTIFS(tblLines[Store 2],C$5,tblLines[S2 Listing],"Yes",tblLines[Zone],$A14))</f>
        <v/>
      </c>
      <c r="D14">
        <f>IF(D$5="","",COUNTIFS(tblLines[Store 1],D$5,tblLines[S1 Listing],"Yes",tblLines[Zone],$A14)+COUNTIFS(tblLines[Store 2],D$5,tblLines[S2 Listing],"Yes",tblLines[Zone],$A14))</f>
        <v/>
      </c>
      <c r="E14">
        <f>IF(E$5="","",COUNTIFS(tblLines[Store 1],E$5,tblLines[S1 Listing],"Yes",tblLines[Zone],$A14)+COUNTIFS(tblLines[Store 2],E$5,tblLines[S2 Listing],"Yes",tblLines[Zone],$A14))</f>
        <v/>
      </c>
    </row>
    <row r="15">
      <c r="A15">
        <f>INDEX(lst_Zone,6)</f>
        <v/>
      </c>
      <c r="B15">
        <f>IF(B$5="","",COUNTIFS(tblLines[Store 1],B$5,tblLines[S1 Listing],"Yes",tblLines[Zone],$A15)+COUNTIFS(tblLines[Store 2],B$5,tblLines[S2 Listing],"Yes",tblLines[Zone],$A15))</f>
        <v/>
      </c>
      <c r="C15">
        <f>IF(C$5="","",COUNTIFS(tblLines[Store 1],C$5,tblLines[S1 Listing],"Yes",tblLines[Zone],$A15)+COUNTIFS(tblLines[Store 2],C$5,tblLines[S2 Listing],"Yes",tblLines[Zone],$A15))</f>
        <v/>
      </c>
      <c r="D15">
        <f>IF(D$5="","",COUNTIFS(tblLines[Store 1],D$5,tblLines[S1 Listing],"Yes",tblLines[Zone],$A15)+COUNTIFS(tblLines[Store 2],D$5,tblLines[S2 Listing],"Yes",tblLines[Zone],$A15))</f>
        <v/>
      </c>
      <c r="E15">
        <f>IF(E$5="","",COUNTIFS(tblLines[Store 1],E$5,tblLines[S1 Listing],"Yes",tblLines[Zone],$A15)+COUNTIFS(tblLines[Store 2],E$5,tblLines[S2 Listing],"Yes",tblLines[Zone],$A15))</f>
        <v/>
      </c>
    </row>
    <row r="16">
      <c r="A16">
        <f>INDEX(lst_Zone,7)</f>
        <v/>
      </c>
      <c r="B16">
        <f>IF(B$5="","",COUNTIFS(tblLines[Store 1],B$5,tblLines[S1 Listing],"Yes",tblLines[Zone],$A16)+COUNTIFS(tblLines[Store 2],B$5,tblLines[S2 Listing],"Yes",tblLines[Zone],$A16))</f>
        <v/>
      </c>
      <c r="C16">
        <f>IF(C$5="","",COUNTIFS(tblLines[Store 1],C$5,tblLines[S1 Listing],"Yes",tblLines[Zone],$A16)+COUNTIFS(tblLines[Store 2],C$5,tblLines[S2 Listing],"Yes",tblLines[Zone],$A16))</f>
        <v/>
      </c>
      <c r="D16">
        <f>IF(D$5="","",COUNTIFS(tblLines[Store 1],D$5,tblLines[S1 Listing],"Yes",tblLines[Zone],$A16)+COUNTIFS(tblLines[Store 2],D$5,tblLines[S2 Listing],"Yes",tblLines[Zone],$A16))</f>
        <v/>
      </c>
      <c r="E16">
        <f>IF(E$5="","",COUNTIFS(tblLines[Store 1],E$5,tblLines[S1 Listing],"Yes",tblLines[Zone],$A16)+COUNTIFS(tblLines[Store 2],E$5,tblLines[S2 Listing],"Yes",tblLines[Zone],$A16))</f>
        <v/>
      </c>
    </row>
    <row r="17">
      <c r="A17">
        <f>INDEX(lst_Zone,8)</f>
        <v/>
      </c>
      <c r="B17">
        <f>IF(B$5="","",COUNTIFS(tblLines[Store 1],B$5,tblLines[S1 Listing],"Yes",tblLines[Zone],$A17)+COUNTIFS(tblLines[Store 2],B$5,tblLines[S2 Listing],"Yes",tblLines[Zone],$A17))</f>
        <v/>
      </c>
      <c r="C17">
        <f>IF(C$5="","",COUNTIFS(tblLines[Store 1],C$5,tblLines[S1 Listing],"Yes",tblLines[Zone],$A17)+COUNTIFS(tblLines[Store 2],C$5,tblLines[S2 Listing],"Yes",tblLines[Zone],$A17))</f>
        <v/>
      </c>
      <c r="D17">
        <f>IF(D$5="","",COUNTIFS(tblLines[Store 1],D$5,tblLines[S1 Listing],"Yes",tblLines[Zone],$A17)+COUNTIFS(tblLines[Store 2],D$5,tblLines[S2 Listing],"Yes",tblLines[Zone],$A17))</f>
        <v/>
      </c>
      <c r="E17">
        <f>IF(E$5="","",COUNTIFS(tblLines[Store 1],E$5,tblLines[S1 Listing],"Yes",tblLines[Zone],$A17)+COUNTIFS(tblLines[Store 2],E$5,tblLines[S2 Listing],"Yes",tblLines[Zone],$A17))</f>
        <v/>
      </c>
    </row>
    <row r="18">
      <c r="A18">
        <f>INDEX(lst_Zone,9)</f>
        <v/>
      </c>
      <c r="B18">
        <f>IF(B$5="","",COUNTIFS(tblLines[Store 1],B$5,tblLines[S1 Listing],"Yes",tblLines[Zone],$A18)+COUNTIFS(tblLines[Store 2],B$5,tblLines[S2 Listing],"Yes",tblLines[Zone],$A18))</f>
        <v/>
      </c>
      <c r="C18">
        <f>IF(C$5="","",COUNTIFS(tblLines[Store 1],C$5,tblLines[S1 Listing],"Yes",tblLines[Zone],$A18)+COUNTIFS(tblLines[Store 2],C$5,tblLines[S2 Listing],"Yes",tblLines[Zone],$A18))</f>
        <v/>
      </c>
      <c r="D18">
        <f>IF(D$5="","",COUNTIFS(tblLines[Store 1],D$5,tblLines[S1 Listing],"Yes",tblLines[Zone],$A18)+COUNTIFS(tblLines[Store 2],D$5,tblLines[S2 Listing],"Yes",tblLines[Zone],$A18))</f>
        <v/>
      </c>
      <c r="E18">
        <f>IF(E$5="","",COUNTIFS(tblLines[Store 1],E$5,tblLines[S1 Listing],"Yes",tblLines[Zone],$A18)+COUNTIFS(tblLines[Store 2],E$5,tblLines[S2 Listing],"Yes",tblLines[Zone],$A18))</f>
        <v/>
      </c>
    </row>
    <row r="19">
      <c r="A19">
        <f>INDEX(lst_Zone,10)</f>
        <v/>
      </c>
      <c r="B19">
        <f>IF(B$5="","",COUNTIFS(tblLines[Store 1],B$5,tblLines[S1 Listing],"Yes",tblLines[Zone],$A19)+COUNTIFS(tblLines[Store 2],B$5,tblLines[S2 Listing],"Yes",tblLines[Zone],$A19))</f>
        <v/>
      </c>
      <c r="C19">
        <f>IF(C$5="","",COUNTIFS(tblLines[Store 1],C$5,tblLines[S1 Listing],"Yes",tblLines[Zone],$A19)+COUNTIFS(tblLines[Store 2],C$5,tblLines[S2 Listing],"Yes",tblLines[Zone],$A19))</f>
        <v/>
      </c>
      <c r="D19">
        <f>IF(D$5="","",COUNTIFS(tblLines[Store 1],D$5,tblLines[S1 Listing],"Yes",tblLines[Zone],$A19)+COUNTIFS(tblLines[Store 2],D$5,tblLines[S2 Listing],"Yes",tblLines[Zone],$A19))</f>
        <v/>
      </c>
      <c r="E19">
        <f>IF(E$5="","",COUNTIFS(tblLines[Store 1],E$5,tblLines[S1 Listing],"Yes",tblLines[Zone],$A19)+COUNTIFS(tblLines[Store 2],E$5,tblLines[S2 Listing],"Yes",tblLines[Zone],$A19))</f>
        <v/>
      </c>
    </row>
    <row r="20">
      <c r="A20">
        <f>INDEX(lst_Zone,11)</f>
        <v/>
      </c>
      <c r="B20">
        <f>IF(B$5="","",COUNTIFS(tblLines[Store 1],B$5,tblLines[S1 Listing],"Yes",tblLines[Zone],$A20)+COUNTIFS(tblLines[Store 2],B$5,tblLines[S2 Listing],"Yes",tblLines[Zone],$A20))</f>
        <v/>
      </c>
      <c r="C20">
        <f>IF(C$5="","",COUNTIFS(tblLines[Store 1],C$5,tblLines[S1 Listing],"Yes",tblLines[Zone],$A20)+COUNTIFS(tblLines[Store 2],C$5,tblLines[S2 Listing],"Yes",tblLines[Zone],$A20))</f>
        <v/>
      </c>
      <c r="D20">
        <f>IF(D$5="","",COUNTIFS(tblLines[Store 1],D$5,tblLines[S1 Listing],"Yes",tblLines[Zone],$A20)+COUNTIFS(tblLines[Store 2],D$5,tblLines[S2 Listing],"Yes",tblLines[Zone],$A20))</f>
        <v/>
      </c>
      <c r="E20">
        <f>IF(E$5="","",COUNTIFS(tblLines[Store 1],E$5,tblLines[S1 Listing],"Yes",tblLines[Zone],$A20)+COUNTIFS(tblLines[Store 2],E$5,tblLines[S2 Listing],"Yes",tblLines[Zone],$A20))</f>
        <v/>
      </c>
    </row>
    <row r="21">
      <c r="A21">
        <f>INDEX(lst_Zone,12)</f>
        <v/>
      </c>
      <c r="B21">
        <f>IF(B$5="","",COUNTIFS(tblLines[Store 1],B$5,tblLines[S1 Listing],"Yes",tblLines[Zone],$A21)+COUNTIFS(tblLines[Store 2],B$5,tblLines[S2 Listing],"Yes",tblLines[Zone],$A21))</f>
        <v/>
      </c>
      <c r="C21">
        <f>IF(C$5="","",COUNTIFS(tblLines[Store 1],C$5,tblLines[S1 Listing],"Yes",tblLines[Zone],$A21)+COUNTIFS(tblLines[Store 2],C$5,tblLines[S2 Listing],"Yes",tblLines[Zone],$A21))</f>
        <v/>
      </c>
      <c r="D21">
        <f>IF(D$5="","",COUNTIFS(tblLines[Store 1],D$5,tblLines[S1 Listing],"Yes",tblLines[Zone],$A21)+COUNTIFS(tblLines[Store 2],D$5,tblLines[S2 Listing],"Yes",tblLines[Zone],$A21))</f>
        <v/>
      </c>
      <c r="E21">
        <f>IF(E$5="","",COUNTIFS(tblLines[Store 1],E$5,tblLines[S1 Listing],"Yes",tblLines[Zone],$A21)+COUNTIFS(tblLines[Store 2],E$5,tblLines[S2 Listing],"Yes",tblLines[Zone],$A21))</f>
        <v/>
      </c>
    </row>
    <row r="22">
      <c r="A22">
        <f>INDEX(lst_Zone,13)</f>
        <v/>
      </c>
      <c r="B22">
        <f>IF(B$5="","",COUNTIFS(tblLines[Store 1],B$5,tblLines[S1 Listing],"Yes",tblLines[Zone],$A22)+COUNTIFS(tblLines[Store 2],B$5,tblLines[S2 Listing],"Yes",tblLines[Zone],$A22))</f>
        <v/>
      </c>
      <c r="C22">
        <f>IF(C$5="","",COUNTIFS(tblLines[Store 1],C$5,tblLines[S1 Listing],"Yes",tblLines[Zone],$A22)+COUNTIFS(tblLines[Store 2],C$5,tblLines[S2 Listing],"Yes",tblLines[Zone],$A22))</f>
        <v/>
      </c>
      <c r="D22">
        <f>IF(D$5="","",COUNTIFS(tblLines[Store 1],D$5,tblLines[S1 Listing],"Yes",tblLines[Zone],$A22)+COUNTIFS(tblLines[Store 2],D$5,tblLines[S2 Listing],"Yes",tblLines[Zone],$A22))</f>
        <v/>
      </c>
      <c r="E22">
        <f>IF(E$5="","",COUNTIFS(tblLines[Store 1],E$5,tblLines[S1 Listing],"Yes",tblLines[Zone],$A22)+COUNTIFS(tblLines[Store 2],E$5,tblLines[S2 Listing],"Yes",tblLines[Zone],$A22))</f>
        <v/>
      </c>
    </row>
    <row r="23">
      <c r="A23" t="inlineStr">
        <is>
          <t>Listed, no zone given</t>
        </is>
      </c>
      <c r="B23">
        <f>IF(B$5="","",COUNTIFS(tblLines[Store 1],B$5,tblLines[S1 Listing],"Yes",tblLines[Zone],"")+COUNTIFS(tblLines[Store 2],B$5,tblLines[S2 Listing],"Yes",tblLines[Zone],""))</f>
        <v/>
      </c>
      <c r="C23">
        <f>IF(C$5="","",COUNTIFS(tblLines[Store 1],C$5,tblLines[S1 Listing],"Yes",tblLines[Zone],"")+COUNTIFS(tblLines[Store 2],C$5,tblLines[S2 Listing],"Yes",tblLines[Zone],""))</f>
        <v/>
      </c>
      <c r="D23">
        <f>IF(D$5="","",COUNTIFS(tblLines[Store 1],D$5,tblLines[S1 Listing],"Yes",tblLines[Zone],"")+COUNTIFS(tblLines[Store 2],D$5,tblLines[S2 Listing],"Yes",tblLines[Zone],""))</f>
        <v/>
      </c>
      <c r="E23">
        <f>IF(E$5="","",COUNTIFS(tblLines[Store 1],E$5,tblLines[S1 Listing],"Yes",tblLines[Zone],"")+COUNTIFS(tblLines[Store 2],E$5,tblLines[S2 Listing],"Yes",tblLines[Zone],""))</f>
        <v/>
      </c>
    </row>
    <row r="24">
      <c r="A24" s="2" t="inlineStr">
        <is>
          <t>Total listed</t>
        </is>
      </c>
      <c r="B24" s="2">
        <f>IF(B$5="","",SUM(B10:B23))</f>
        <v/>
      </c>
      <c r="C24" s="2">
        <f>IF(C$5="","",SUM(C10:C23))</f>
        <v/>
      </c>
      <c r="D24" s="2">
        <f>IF(D$5="","",SUM(D10:D23))</f>
        <v/>
      </c>
      <c r="E24" s="2">
        <f>IF(E$5="","",SUM(E10:E23))</f>
        <v/>
      </c>
    </row>
    <row r="25">
      <c r="A25" t="inlineStr">
        <is>
          <t>Check: all listed lines</t>
        </is>
      </c>
      <c r="B25">
        <f>IF(B$5="","",COUNTIFS(tblLines[Store 1],B$5,tblLines[S1 Listing],"Yes")+COUNTIFS(tblLines[Store 2],B$5,tblLines[S2 Listing],"Yes"))</f>
        <v/>
      </c>
      <c r="C25">
        <f>IF(C$5="","",COUNTIFS(tblLines[Store 1],C$5,tblLines[S1 Listing],"Yes")+COUNTIFS(tblLines[Store 2],C$5,tblLines[S2 Listing],"Yes"))</f>
        <v/>
      </c>
      <c r="D25">
        <f>IF(D$5="","",COUNTIFS(tblLines[Store 1],D$5,tblLines[S1 Listing],"Yes")+COUNTIFS(tblLines[Store 2],D$5,tblLines[S2 Listing],"Yes"))</f>
        <v/>
      </c>
      <c r="E25">
        <f>IF(E$5="","",COUNTIFS(tblLines[Store 1],E$5,tblLines[S1 Listing],"Yes")+COUNTIFS(tblLines[Store 2],E$5,tblLines[S2 Listing],"Yes"))</f>
        <v/>
      </c>
    </row>
    <row r="27">
      <c r="A27" s="2" t="inlineStr">
        <is>
          <t>Brand-code mix</t>
        </is>
      </c>
      <c r="B27" s="2" t="inlineStr">
        <is>
          <t>Lines</t>
        </is>
      </c>
      <c r="C27" s="2" t="inlineStr">
        <is>
          <t>Share</t>
        </is>
      </c>
      <c r="D27" s="2" t="inlineStr">
        <is>
          <t>of which double</t>
        </is>
      </c>
    </row>
    <row r="28">
      <c r="A28" s="3">
        <f>INDEX(lst_BrandCode,1)</f>
        <v/>
      </c>
      <c r="B28">
        <f>COUNTIFS(tblLines[Launch],$B$4,tblLines[Brand code],$A28)</f>
        <v/>
      </c>
      <c r="C28" s="20">
        <f>IFERROR(B28/$B$7,0)</f>
        <v/>
      </c>
      <c r="D28">
        <f>COUNTIFS(tblLines[Launch],$B$4,tblLines[Brand code],$A28,tblLines[Double placement],"Yes")</f>
        <v/>
      </c>
    </row>
    <row r="29">
      <c r="A29" s="4">
        <f>INDEX(lst_BrandCode,2)</f>
        <v/>
      </c>
      <c r="B29">
        <f>COUNTIFS(tblLines[Launch],$B$4,tblLines[Brand code],$A29)</f>
        <v/>
      </c>
      <c r="C29" s="20">
        <f>IFERROR(B29/$B$7,0)</f>
        <v/>
      </c>
      <c r="D29">
        <f>COUNTIFS(tblLines[Launch],$B$4,tblLines[Brand code],$A29,tblLines[Double placement],"Yes")</f>
        <v/>
      </c>
    </row>
    <row r="30">
      <c r="A30" s="5">
        <f>INDEX(lst_BrandCode,3)</f>
        <v/>
      </c>
      <c r="B30">
        <f>COUNTIFS(tblLines[Launch],$B$4,tblLines[Brand code],$A30)</f>
        <v/>
      </c>
      <c r="C30" s="20">
        <f>IFERROR(B30/$B$7,0)</f>
        <v/>
      </c>
      <c r="D30">
        <f>COUNTIFS(tblLines[Launch],$B$4,tblLines[Brand code],$A30,tblLines[Double placement],"Yes")</f>
        <v/>
      </c>
    </row>
    <row r="31">
      <c r="A31" s="6">
        <f>INDEX(lst_BrandCode,4)</f>
        <v/>
      </c>
      <c r="B31">
        <f>COUNTIFS(tblLines[Launch],$B$4,tblLines[Brand code],$A31)</f>
        <v/>
      </c>
      <c r="C31" s="20">
        <f>IFERROR(B31/$B$7,0)</f>
        <v/>
      </c>
      <c r="D31">
        <f>COUNTIFS(tblLines[Launch],$B$4,tblLines[Brand code],$A31,tblLines[Double placement],"Yes")</f>
        <v/>
      </c>
    </row>
    <row r="32">
      <c r="A32" s="7">
        <f>INDEX(lst_BrandCode,5)</f>
        <v/>
      </c>
      <c r="B32">
        <f>COUNTIFS(tblLines[Launch],$B$4,tblLines[Brand code],$A32)</f>
        <v/>
      </c>
      <c r="C32" s="20">
        <f>IFERROR(B32/$B$7,0)</f>
        <v/>
      </c>
      <c r="D32">
        <f>COUNTIFS(tblLines[Launch],$B$4,tblLines[Brand code],$A32,tblLines[Double placement],"Yes")</f>
        <v/>
      </c>
    </row>
    <row r="33">
      <c r="A33" s="8">
        <f>INDEX(lst_BrandCode,6)</f>
        <v/>
      </c>
      <c r="B33">
        <f>COUNTIFS(tblLines[Launch],$B$4,tblLines[Brand code],$A33)</f>
        <v/>
      </c>
      <c r="C33" s="20">
        <f>IFERROR(B33/$B$7,0)</f>
        <v/>
      </c>
      <c r="D33">
        <f>COUNTIFS(tblLines[Launch],$B$4,tblLines[Brand code],$A33,tblLines[Double placement],"Yes")</f>
        <v/>
      </c>
    </row>
    <row r="34">
      <c r="A34" s="9">
        <f>INDEX(lst_BrandCode,7)</f>
        <v/>
      </c>
      <c r="B34">
        <f>COUNTIFS(tblLines[Launch],$B$4,tblLines[Brand code],$A34)</f>
        <v/>
      </c>
      <c r="C34" s="20">
        <f>IFERROR(B34/$B$7,0)</f>
        <v/>
      </c>
      <c r="D34">
        <f>COUNTIFS(tblLines[Launch],$B$4,tblLines[Brand code],$A34,tblLines[Double placement],"Yes")</f>
        <v/>
      </c>
    </row>
    <row r="35">
      <c r="A35" s="10">
        <f>INDEX(lst_BrandCode,8)</f>
        <v/>
      </c>
      <c r="B35">
        <f>COUNTIFS(tblLines[Launch],$B$4,tblLines[Brand code],$A35)</f>
        <v/>
      </c>
      <c r="C35" s="20">
        <f>IFERROR(B35/$B$7,0)</f>
        <v/>
      </c>
      <c r="D35">
        <f>COUNTIFS(tblLines[Launch],$B$4,tblLines[Brand code],$A35,tblLines[Double placement],"Yes")</f>
        <v/>
      </c>
    </row>
    <row r="37">
      <c r="A37" s="2" t="inlineStr">
        <is>
          <t>Penetration plan by main category</t>
        </is>
      </c>
    </row>
    <row r="38">
      <c r="A38">
        <f>INDEX(lst_MainCategory,1)</f>
        <v/>
      </c>
      <c r="B38" s="20">
        <f>SUMIFS(tblLines[Penetration plan],tblLines[Launch],$B$4,tblLines[Main category],$A38)</f>
        <v/>
      </c>
    </row>
    <row r="39">
      <c r="A39">
        <f>INDEX(lst_MainCategory,2)</f>
        <v/>
      </c>
      <c r="B39" s="20">
        <f>SUMIFS(tblLines[Penetration plan],tblLines[Launch],$B$4,tblLines[Main category],$A39)</f>
        <v/>
      </c>
    </row>
    <row r="40">
      <c r="A40">
        <f>INDEX(lst_MainCategory,3)</f>
        <v/>
      </c>
      <c r="B40" s="20">
        <f>SUMIFS(tblLines[Penetration plan],tblLines[Launch],$B$4,tblLines[Main category],$A40)</f>
        <v/>
      </c>
    </row>
    <row r="41">
      <c r="A41">
        <f>INDEX(lst_MainCategory,4)</f>
        <v/>
      </c>
      <c r="B41" s="20">
        <f>SUMIFS(tblLines[Penetration plan],tblLines[Launch],$B$4,tblLines[Main category],$A41)</f>
        <v/>
      </c>
    </row>
    <row r="42">
      <c r="A42">
        <f>INDEX(lst_MainCategory,5)</f>
        <v/>
      </c>
      <c r="B42" s="20">
        <f>SUMIFS(tblLines[Penetration plan],tblLines[Launch],$B$4,tblLines[Main category],$A42)</f>
        <v/>
      </c>
    </row>
    <row r="43">
      <c r="A43">
        <f>INDEX(lst_MainCategory,6)</f>
        <v/>
      </c>
      <c r="B43" s="20">
        <f>SUMIFS(tblLines[Penetration plan],tblLines[Launch],$B$4,tblLines[Main category],$A43)</f>
        <v/>
      </c>
    </row>
    <row r="44">
      <c r="A44">
        <f>INDEX(lst_MainCategory,7)</f>
        <v/>
      </c>
      <c r="B44" s="20">
        <f>SUMIFS(tblLines[Penetration plan],tblLines[Launch],$B$4,tblLines[Main category],$A44)</f>
        <v/>
      </c>
    </row>
    <row r="45">
      <c r="A45">
        <f>INDEX(lst_MainCategory,8)</f>
        <v/>
      </c>
      <c r="B45" s="20">
        <f>SUMIFS(tblLines[Penetration plan],tblLines[Launch],$B$4,tblLines[Main category],$A45)</f>
        <v/>
      </c>
    </row>
    <row r="46">
      <c r="A46" s="2" t="inlineStr">
        <is>
          <t>Total</t>
        </is>
      </c>
      <c r="B46" s="20">
        <f>SUM(B38:B45)</f>
        <v/>
      </c>
    </row>
    <row r="48">
      <c r="A48" s="2" t="inlineStr">
        <is>
          <t>Listing per store</t>
        </is>
      </c>
      <c r="B48" s="2">
        <f>IF(B$5="","",B$5)</f>
        <v/>
      </c>
      <c r="C48" s="2">
        <f>IF(C$5="","",C$5)</f>
        <v/>
      </c>
      <c r="D48" s="2">
        <f>IF(D$5="","",D$5)</f>
        <v/>
      </c>
      <c r="E48" s="2">
        <f>IF(E$5="","",E$5)</f>
        <v/>
      </c>
    </row>
    <row r="49">
      <c r="A49">
        <f>INDEX(lst_Listing,1)</f>
        <v/>
      </c>
      <c r="B49">
        <f>IF(B$5="","",COUNTIFS(tblLines[Store 1],B$5,tblLines[S1 Listing],$A49)+COUNTIFS(tblLines[Store 2],B$5,tblLines[S2 Listing],$A49))</f>
        <v/>
      </c>
      <c r="C49">
        <f>IF(C$5="","",COUNTIFS(tblLines[Store 1],C$5,tblLines[S1 Listing],$A49)+COUNTIFS(tblLines[Store 2],C$5,tblLines[S2 Listing],$A49))</f>
        <v/>
      </c>
      <c r="D49">
        <f>IF(D$5="","",COUNTIFS(tblLines[Store 1],D$5,tblLines[S1 Listing],$A49)+COUNTIFS(tblLines[Store 2],D$5,tblLines[S2 Listing],$A49))</f>
        <v/>
      </c>
      <c r="E49">
        <f>IF(E$5="","",COUNTIFS(tblLines[Store 1],E$5,tblLines[S1 Listing],$A49)+COUNTIFS(tblLines[Store 2],E$5,tblLines[S2 Listing],$A49))</f>
        <v/>
      </c>
    </row>
    <row r="50">
      <c r="A50">
        <f>INDEX(lst_Listing,2)</f>
        <v/>
      </c>
      <c r="B50">
        <f>IF(B$5="","",COUNTIFS(tblLines[Store 1],B$5,tblLines[S1 Listing],$A50)+COUNTIFS(tblLines[Store 2],B$5,tblLines[S2 Listing],$A50))</f>
        <v/>
      </c>
      <c r="C50">
        <f>IF(C$5="","",COUNTIFS(tblLines[Store 1],C$5,tblLines[S1 Listing],$A50)+COUNTIFS(tblLines[Store 2],C$5,tblLines[S2 Listing],$A50))</f>
        <v/>
      </c>
      <c r="D50">
        <f>IF(D$5="","",COUNTIFS(tblLines[Store 1],D$5,tblLines[S1 Listing],$A50)+COUNTIFS(tblLines[Store 2],D$5,tblLines[S2 Listing],$A50))</f>
        <v/>
      </c>
      <c r="E50">
        <f>IF(E$5="","",COUNTIFS(tblLines[Store 1],E$5,tblLines[S1 Listing],$A50)+COUNTIFS(tblLines[Store 2],E$5,tblLines[S2 Listing],$A50))</f>
        <v/>
      </c>
    </row>
    <row r="51">
      <c r="A51">
        <f>INDEX(lst_Listing,3)</f>
        <v/>
      </c>
      <c r="B51">
        <f>IF(B$5="","",COUNTIFS(tblLines[Store 1],B$5,tblLines[S1 Listing],$A51)+COUNTIFS(tblLines[Store 2],B$5,tblLines[S2 Listing],$A51))</f>
        <v/>
      </c>
      <c r="C51">
        <f>IF(C$5="","",COUNTIFS(tblLines[Store 1],C$5,tblLines[S1 Listing],$A51)+COUNTIFS(tblLines[Store 2],C$5,tblLines[S2 Listing],$A51))</f>
        <v/>
      </c>
      <c r="D51">
        <f>IF(D$5="","",COUNTIFS(tblLines[Store 1],D$5,tblLines[S1 Listing],$A51)+COUNTIFS(tblLines[Store 2],D$5,tblLines[S2 Listing],$A51))</f>
        <v/>
      </c>
      <c r="E51">
        <f>IF(E$5="","",COUNTIFS(tblLines[Store 1],E$5,tblLines[S1 Listing],$A51)+COUNTIFS(tblLines[Store 2],E$5,tblLines[S2 Listing],$A51))</f>
        <v/>
      </c>
    </row>
    <row r="52">
      <c r="A52">
        <f>INDEX(lst_Listing,4)</f>
        <v/>
      </c>
      <c r="B52">
        <f>IF(B$5="","",COUNTIFS(tblLines[Store 1],B$5,tblLines[S1 Listing],$A52)+COUNTIFS(tblLines[Store 2],B$5,tblLines[S2 Listing],$A52))</f>
        <v/>
      </c>
      <c r="C52">
        <f>IF(C$5="","",COUNTIFS(tblLines[Store 1],C$5,tblLines[S1 Listing],$A52)+COUNTIFS(tblLines[Store 2],C$5,tblLines[S2 Listing],$A52))</f>
        <v/>
      </c>
      <c r="D52">
        <f>IF(D$5="","",COUNTIFS(tblLines[Store 1],D$5,tblLines[S1 Listing],$A52)+COUNTIFS(tblLines[Store 2],D$5,tblLines[S2 Listing],$A52))</f>
        <v/>
      </c>
      <c r="E52">
        <f>IF(E$5="","",COUNTIFS(tblLines[Store 1],E$5,tblLines[S1 Listing],$A52)+COUNTIFS(tblLines[Store 2],E$5,tblLines[S2 Listing],$A52))</f>
        <v/>
      </c>
    </row>
    <row r="53">
      <c r="A53">
        <f>INDEX(lst_Listing,5)</f>
        <v/>
      </c>
      <c r="B53">
        <f>IF(B$5="","",COUNTIFS(tblLines[Store 1],B$5,tblLines[S1 Listing],$A53)+COUNTIFS(tblLines[Store 2],B$5,tblLines[S2 Listing],$A53))</f>
        <v/>
      </c>
      <c r="C53">
        <f>IF(C$5="","",COUNTIFS(tblLines[Store 1],C$5,tblLines[S1 Listing],$A53)+COUNTIFS(tblLines[Store 2],C$5,tblLines[S2 Listing],$A53))</f>
        <v/>
      </c>
      <c r="D53">
        <f>IF(D$5="","",COUNTIFS(tblLines[Store 1],D$5,tblLines[S1 Listing],$A53)+COUNTIFS(tblLines[Store 2],D$5,tblLines[S2 Listing],$A53))</f>
        <v/>
      </c>
      <c r="E53">
        <f>IF(E$5="","",COUNTIFS(tblLines[Store 1],E$5,tblLines[S1 Listing],$A53)+COUNTIFS(tblLines[Store 2],E$5,tblLines[S2 Listing],$A53))</f>
        <v/>
      </c>
    </row>
    <row r="54">
      <c r="A54">
        <f>INDEX(lst_Listing,6)</f>
        <v/>
      </c>
      <c r="B54">
        <f>IF(B$5="","",COUNTIFS(tblLines[Store 1],B$5,tblLines[S1 Listing],$A54)+COUNTIFS(tblLines[Store 2],B$5,tblLines[S2 Listing],$A54))</f>
        <v/>
      </c>
      <c r="C54">
        <f>IF(C$5="","",COUNTIFS(tblLines[Store 1],C$5,tblLines[S1 Listing],$A54)+COUNTIFS(tblLines[Store 2],C$5,tblLines[S2 Listing],$A54))</f>
        <v/>
      </c>
      <c r="D54">
        <f>IF(D$5="","",COUNTIFS(tblLines[Store 1],D$5,tblLines[S1 Listing],$A54)+COUNTIFS(tblLines[Store 2],D$5,tblLines[S2 Listing],$A54))</f>
        <v/>
      </c>
      <c r="E54">
        <f>IF(E$5="","",COUNTIFS(tblLines[Store 1],E$5,tblLines[S1 Listing],$A54)+COUNTIFS(tblLines[Store 2],E$5,tblLines[S2 Listing],$A54))</f>
        <v/>
      </c>
    </row>
    <row r="55">
      <c r="A55">
        <f>INDEX(lst_Listing,7)</f>
        <v/>
      </c>
      <c r="B55">
        <f>IF(B$5="","",COUNTIFS(tblLines[Store 1],B$5,tblLines[S1 Listing],$A55)+COUNTIFS(tblLines[Store 2],B$5,tblLines[S2 Listing],$A55))</f>
        <v/>
      </c>
      <c r="C55">
        <f>IF(C$5="","",COUNTIFS(tblLines[Store 1],C$5,tblLines[S1 Listing],$A55)+COUNTIFS(tblLines[Store 2],C$5,tblLines[S2 Listing],$A55))</f>
        <v/>
      </c>
      <c r="D55">
        <f>IF(D$5="","",COUNTIFS(tblLines[Store 1],D$5,tblLines[S1 Listing],$A55)+COUNTIFS(tblLines[Store 2],D$5,tblLines[S2 Listing],$A55))</f>
        <v/>
      </c>
      <c r="E55">
        <f>IF(E$5="","",COUNTIFS(tblLines[Store 1],E$5,tblLines[S1 Listing],$A55)+COUNTIFS(tblLines[Store 2],E$5,tblLines[S2 Listing],$A55))</f>
        <v/>
      </c>
    </row>
    <row r="56">
      <c r="A56" t="inlineStr">
        <is>
          <t>(blank)</t>
        </is>
      </c>
      <c r="B56">
        <f>IF(B$5="","",COUNTIFS(tblLines[Store 1],B$5,tblLines[S1 Listing],"")+COUNTIFS(tblLines[Store 2],B$5,tblLines[S2 Listing],""))</f>
        <v/>
      </c>
      <c r="C56">
        <f>IF(C$5="","",COUNTIFS(tblLines[Store 1],C$5,tblLines[S1 Listing],"")+COUNTIFS(tblLines[Store 2],C$5,tblLines[S2 Listing],""))</f>
        <v/>
      </c>
      <c r="D56">
        <f>IF(D$5="","",COUNTIFS(tblLines[Store 1],D$5,tblLines[S1 Listing],"")+COUNTIFS(tblLines[Store 2],D$5,tblLines[S2 Listing],""))</f>
        <v/>
      </c>
      <c r="E56">
        <f>IF(E$5="","",COUNTIFS(tblLines[Store 1],E$5,tblLines[S1 Listing],"")+COUNTIFS(tblLines[Store 2],E$5,tblLines[S2 Listing],""))</f>
        <v/>
      </c>
    </row>
    <row r="57">
      <c r="A57" s="2" t="inlineStr">
        <is>
          <t>Done</t>
        </is>
      </c>
      <c r="B57" s="2">
        <f>IF(B$5="","",COUNTIFS(tblLines[Store 1],B$5,tblLines[S1 Listing],"Yes")+COUNTIFS(tblLines[Store 2],B$5,tblLines[S2 Listing],"Yes"))</f>
        <v/>
      </c>
      <c r="C57" s="2">
        <f>IF(C$5="","",COUNTIFS(tblLines[Store 1],C$5,tblLines[S1 Listing],"Yes")+COUNTIFS(tblLines[Store 2],C$5,tblLines[S2 Listing],"Yes"))</f>
        <v/>
      </c>
      <c r="D57" s="2">
        <f>IF(D$5="","",COUNTIFS(tblLines[Store 1],D$5,tblLines[S1 Listing],"Yes")+COUNTIFS(tblLines[Store 2],D$5,tblLines[S2 Listing],"Yes"))</f>
        <v/>
      </c>
      <c r="E57" s="2">
        <f>IF(E$5="","",COUNTIFS(tblLines[Store 1],E$5,tblLines[S1 Listing],"Yes")+COUNTIFS(tblLines[Store 2],E$5,tblLines[S2 Listing],"Yes"))</f>
        <v/>
      </c>
    </row>
    <row r="59">
      <c r="A59" s="2" t="inlineStr">
        <is>
          <t>Comms per store</t>
        </is>
      </c>
      <c r="B59" s="2">
        <f>IF(B$5="","",B$5)</f>
        <v/>
      </c>
      <c r="C59" s="2">
        <f>IF(C$5="","",C$5)</f>
        <v/>
      </c>
      <c r="D59" s="2">
        <f>IF(D$5="","",D$5)</f>
        <v/>
      </c>
      <c r="E59" s="2">
        <f>IF(E$5="","",E$5)</f>
        <v/>
      </c>
    </row>
    <row r="60">
      <c r="A60">
        <f>INDEX(lst_Comms,1)</f>
        <v/>
      </c>
      <c r="B60">
        <f>IF(B$5="","",COUNTIFS(tblLines[Store 1],B$5,tblLines[S1 Comms],$A60)+COUNTIFS(tblLines[Store 2],B$5,tblLines[S2 Comms],$A60))</f>
        <v/>
      </c>
      <c r="C60">
        <f>IF(C$5="","",COUNTIFS(tblLines[Store 1],C$5,tblLines[S1 Comms],$A60)+COUNTIFS(tblLines[Store 2],C$5,tblLines[S2 Comms],$A60))</f>
        <v/>
      </c>
      <c r="D60">
        <f>IF(D$5="","",COUNTIFS(tblLines[Store 1],D$5,tblLines[S1 Comms],$A60)+COUNTIFS(tblLines[Store 2],D$5,tblLines[S2 Comms],$A60))</f>
        <v/>
      </c>
      <c r="E60">
        <f>IF(E$5="","",COUNTIFS(tblLines[Store 1],E$5,tblLines[S1 Comms],$A60)+COUNTIFS(tblLines[Store 2],E$5,tblLines[S2 Comms],$A60))</f>
        <v/>
      </c>
    </row>
    <row r="61">
      <c r="A61">
        <f>INDEX(lst_Comms,2)</f>
        <v/>
      </c>
      <c r="B61">
        <f>IF(B$5="","",COUNTIFS(tblLines[Store 1],B$5,tblLines[S1 Comms],$A61)+COUNTIFS(tblLines[Store 2],B$5,tblLines[S2 Comms],$A61))</f>
        <v/>
      </c>
      <c r="C61">
        <f>IF(C$5="","",COUNTIFS(tblLines[Store 1],C$5,tblLines[S1 Comms],$A61)+COUNTIFS(tblLines[Store 2],C$5,tblLines[S2 Comms],$A61))</f>
        <v/>
      </c>
      <c r="D61">
        <f>IF(D$5="","",COUNTIFS(tblLines[Store 1],D$5,tblLines[S1 Comms],$A61)+COUNTIFS(tblLines[Store 2],D$5,tblLines[S2 Comms],$A61))</f>
        <v/>
      </c>
      <c r="E61">
        <f>IF(E$5="","",COUNTIFS(tblLines[Store 1],E$5,tblLines[S1 Comms],$A61)+COUNTIFS(tblLines[Store 2],E$5,tblLines[S2 Comms],$A61))</f>
        <v/>
      </c>
    </row>
    <row r="62">
      <c r="A62">
        <f>INDEX(lst_Comms,3)</f>
        <v/>
      </c>
      <c r="B62">
        <f>IF(B$5="","",COUNTIFS(tblLines[Store 1],B$5,tblLines[S1 Comms],$A62)+COUNTIFS(tblLines[Store 2],B$5,tblLines[S2 Comms],$A62))</f>
        <v/>
      </c>
      <c r="C62">
        <f>IF(C$5="","",COUNTIFS(tblLines[Store 1],C$5,tblLines[S1 Comms],$A62)+COUNTIFS(tblLines[Store 2],C$5,tblLines[S2 Comms],$A62))</f>
        <v/>
      </c>
      <c r="D62">
        <f>IF(D$5="","",COUNTIFS(tblLines[Store 1],D$5,tblLines[S1 Comms],$A62)+COUNTIFS(tblLines[Store 2],D$5,tblLines[S2 Comms],$A62))</f>
        <v/>
      </c>
      <c r="E62">
        <f>IF(E$5="","",COUNTIFS(tblLines[Store 1],E$5,tblLines[S1 Comms],$A62)+COUNTIFS(tblLines[Store 2],E$5,tblLines[S2 Comms],$A62))</f>
        <v/>
      </c>
    </row>
    <row r="63">
      <c r="A63">
        <f>INDEX(lst_Comms,4)</f>
        <v/>
      </c>
      <c r="B63">
        <f>IF(B$5="","",COUNTIFS(tblLines[Store 1],B$5,tblLines[S1 Comms],$A63)+COUNTIFS(tblLines[Store 2],B$5,tblLines[S2 Comms],$A63))</f>
        <v/>
      </c>
      <c r="C63">
        <f>IF(C$5="","",COUNTIFS(tblLines[Store 1],C$5,tblLines[S1 Comms],$A63)+COUNTIFS(tblLines[Store 2],C$5,tblLines[S2 Comms],$A63))</f>
        <v/>
      </c>
      <c r="D63">
        <f>IF(D$5="","",COUNTIFS(tblLines[Store 1],D$5,tblLines[S1 Comms],$A63)+COUNTIFS(tblLines[Store 2],D$5,tblLines[S2 Comms],$A63))</f>
        <v/>
      </c>
      <c r="E63">
        <f>IF(E$5="","",COUNTIFS(tblLines[Store 1],E$5,tblLines[S1 Comms],$A63)+COUNTIFS(tblLines[Store 2],E$5,tblLines[S2 Comms],$A63))</f>
        <v/>
      </c>
    </row>
    <row r="64">
      <c r="A64">
        <f>INDEX(lst_Comms,5)</f>
        <v/>
      </c>
      <c r="B64">
        <f>IF(B$5="","",COUNTIFS(tblLines[Store 1],B$5,tblLines[S1 Comms],$A64)+COUNTIFS(tblLines[Store 2],B$5,tblLines[S2 Comms],$A64))</f>
        <v/>
      </c>
      <c r="C64">
        <f>IF(C$5="","",COUNTIFS(tblLines[Store 1],C$5,tblLines[S1 Comms],$A64)+COUNTIFS(tblLines[Store 2],C$5,tblLines[S2 Comms],$A64))</f>
        <v/>
      </c>
      <c r="D64">
        <f>IF(D$5="","",COUNTIFS(tblLines[Store 1],D$5,tblLines[S1 Comms],$A64)+COUNTIFS(tblLines[Store 2],D$5,tblLines[S2 Comms],$A64))</f>
        <v/>
      </c>
      <c r="E64">
        <f>IF(E$5="","",COUNTIFS(tblLines[Store 1],E$5,tblLines[S1 Comms],$A64)+COUNTIFS(tblLines[Store 2],E$5,tblLines[S2 Comms],$A64))</f>
        <v/>
      </c>
    </row>
    <row r="65">
      <c r="A65">
        <f>INDEX(lst_Comms,6)</f>
        <v/>
      </c>
      <c r="B65">
        <f>IF(B$5="","",COUNTIFS(tblLines[Store 1],B$5,tblLines[S1 Comms],$A65)+COUNTIFS(tblLines[Store 2],B$5,tblLines[S2 Comms],$A65))</f>
        <v/>
      </c>
      <c r="C65">
        <f>IF(C$5="","",COUNTIFS(tblLines[Store 1],C$5,tblLines[S1 Comms],$A65)+COUNTIFS(tblLines[Store 2],C$5,tblLines[S2 Comms],$A65))</f>
        <v/>
      </c>
      <c r="D65">
        <f>IF(D$5="","",COUNTIFS(tblLines[Store 1],D$5,tblLines[S1 Comms],$A65)+COUNTIFS(tblLines[Store 2],D$5,tblLines[S2 Comms],$A65))</f>
        <v/>
      </c>
      <c r="E65">
        <f>IF(E$5="","",COUNTIFS(tblLines[Store 1],E$5,tblLines[S1 Comms],$A65)+COUNTIFS(tblLines[Store 2],E$5,tblLines[S2 Comms],$A65))</f>
        <v/>
      </c>
    </row>
    <row r="66">
      <c r="A66">
        <f>INDEX(lst_Comms,7)</f>
        <v/>
      </c>
      <c r="B66">
        <f>IF(B$5="","",COUNTIFS(tblLines[Store 1],B$5,tblLines[S1 Comms],$A66)+COUNTIFS(tblLines[Store 2],B$5,tblLines[S2 Comms],$A66))</f>
        <v/>
      </c>
      <c r="C66">
        <f>IF(C$5="","",COUNTIFS(tblLines[Store 1],C$5,tblLines[S1 Comms],$A66)+COUNTIFS(tblLines[Store 2],C$5,tblLines[S2 Comms],$A66))</f>
        <v/>
      </c>
      <c r="D66">
        <f>IF(D$5="","",COUNTIFS(tblLines[Store 1],D$5,tblLines[S1 Comms],$A66)+COUNTIFS(tblLines[Store 2],D$5,tblLines[S2 Comms],$A66))</f>
        <v/>
      </c>
      <c r="E66">
        <f>IF(E$5="","",COUNTIFS(tblLines[Store 1],E$5,tblLines[S1 Comms],$A66)+COUNTIFS(tblLines[Store 2],E$5,tblLines[S2 Comms],$A66))</f>
        <v/>
      </c>
    </row>
    <row r="67">
      <c r="A67">
        <f>INDEX(lst_Comms,8)</f>
        <v/>
      </c>
      <c r="B67">
        <f>IF(B$5="","",COUNTIFS(tblLines[Store 1],B$5,tblLines[S1 Comms],$A67)+COUNTIFS(tblLines[Store 2],B$5,tblLines[S2 Comms],$A67))</f>
        <v/>
      </c>
      <c r="C67">
        <f>IF(C$5="","",COUNTIFS(tblLines[Store 1],C$5,tblLines[S1 Comms],$A67)+COUNTIFS(tblLines[Store 2],C$5,tblLines[S2 Comms],$A67))</f>
        <v/>
      </c>
      <c r="D67">
        <f>IF(D$5="","",COUNTIFS(tblLines[Store 1],D$5,tblLines[S1 Comms],$A67)+COUNTIFS(tblLines[Store 2],D$5,tblLines[S2 Comms],$A67))</f>
        <v/>
      </c>
      <c r="E67">
        <f>IF(E$5="","",COUNTIFS(tblLines[Store 1],E$5,tblLines[S1 Comms],$A67)+COUNTIFS(tblLines[Store 2],E$5,tblLines[S2 Comms],$A67))</f>
        <v/>
      </c>
    </row>
    <row r="68">
      <c r="A68">
        <f>INDEX(lst_Comms,9)</f>
        <v/>
      </c>
      <c r="B68">
        <f>IF(B$5="","",COUNTIFS(tblLines[Store 1],B$5,tblLines[S1 Comms],$A68)+COUNTIFS(tblLines[Store 2],B$5,tblLines[S2 Comms],$A68))</f>
        <v/>
      </c>
      <c r="C68">
        <f>IF(C$5="","",COUNTIFS(tblLines[Store 1],C$5,tblLines[S1 Comms],$A68)+COUNTIFS(tblLines[Store 2],C$5,tblLines[S2 Comms],$A68))</f>
        <v/>
      </c>
      <c r="D68">
        <f>IF(D$5="","",COUNTIFS(tblLines[Store 1],D$5,tblLines[S1 Comms],$A68)+COUNTIFS(tblLines[Store 2],D$5,tblLines[S2 Comms],$A68))</f>
        <v/>
      </c>
      <c r="E68">
        <f>IF(E$5="","",COUNTIFS(tblLines[Store 1],E$5,tblLines[S1 Comms],$A68)+COUNTIFS(tblLines[Store 2],E$5,tblLines[S2 Comms],$A68))</f>
        <v/>
      </c>
    </row>
    <row r="69">
      <c r="A69" t="inlineStr">
        <is>
          <t>(blank)</t>
        </is>
      </c>
      <c r="B69">
        <f>IF(B$5="","",COUNTIFS(tblLines[Store 1],B$5,tblLines[S1 Comms],"")+COUNTIFS(tblLines[Store 2],B$5,tblLines[S2 Comms],""))</f>
        <v/>
      </c>
      <c r="C69">
        <f>IF(C$5="","",COUNTIFS(tblLines[Store 1],C$5,tblLines[S1 Comms],"")+COUNTIFS(tblLines[Store 2],C$5,tblLines[S2 Comms],""))</f>
        <v/>
      </c>
      <c r="D69">
        <f>IF(D$5="","",COUNTIFS(tblLines[Store 1],D$5,tblLines[S1 Comms],"")+COUNTIFS(tblLines[Store 2],D$5,tblLines[S2 Comms],""))</f>
        <v/>
      </c>
      <c r="E69">
        <f>IF(E$5="","",COUNTIFS(tblLines[Store 1],E$5,tblLines[S1 Comms],"")+COUNTIFS(tblLines[Store 2],E$5,tblLines[S2 Comms],""))</f>
        <v/>
      </c>
    </row>
    <row r="70">
      <c r="A70" s="2" t="inlineStr">
        <is>
          <t>Done</t>
        </is>
      </c>
      <c r="B70" s="2">
        <f>IF(B$5="","",COUNTIFS(tblLines[Store 1],B$5,tblLines[S1 Comms],"Sent")+COUNTIFS(tblLines[Store 2],B$5,tblLines[S2 Comms],"Sent"))</f>
        <v/>
      </c>
      <c r="C70" s="2">
        <f>IF(C$5="","",COUNTIFS(tblLines[Store 1],C$5,tblLines[S1 Comms],"Sent")+COUNTIFS(tblLines[Store 2],C$5,tblLines[S2 Comms],"Sent"))</f>
        <v/>
      </c>
      <c r="D70" s="2">
        <f>IF(D$5="","",COUNTIFS(tblLines[Store 1],D$5,tblLines[S1 Comms],"Sent")+COUNTIFS(tblLines[Store 2],D$5,tblLines[S2 Comms],"Sent"))</f>
        <v/>
      </c>
      <c r="E70" s="2">
        <f>IF(E$5="","",COUNTIFS(tblLines[Store 1],E$5,tblLines[S1 Comms],"Sent")+COUNTIFS(tblLines[Store 2],E$5,tblLines[S2 Comms],"Sent"))</f>
        <v/>
      </c>
    </row>
    <row r="72">
      <c r="A72" s="2" t="inlineStr">
        <is>
          <t>Floor plan per store</t>
        </is>
      </c>
      <c r="B72" s="2">
        <f>IF(B$5="","",B$5)</f>
        <v/>
      </c>
      <c r="C72" s="2">
        <f>IF(C$5="","",C$5)</f>
        <v/>
      </c>
      <c r="D72" s="2">
        <f>IF(D$5="","",D$5)</f>
        <v/>
      </c>
      <c r="E72" s="2">
        <f>IF(E$5="","",E$5)</f>
        <v/>
      </c>
    </row>
    <row r="73">
      <c r="A73">
        <f>INDEX(lst_FloorPlan,1)</f>
        <v/>
      </c>
      <c r="B73">
        <f>IF(B$5="","",COUNTIFS(tblLines[Store 1],B$5,tblLines[S1 Floor plan],$A73)+COUNTIFS(tblLines[Store 2],B$5,tblLines[S2 Floor plan],$A73))</f>
        <v/>
      </c>
      <c r="C73">
        <f>IF(C$5="","",COUNTIFS(tblLines[Store 1],C$5,tblLines[S1 Floor plan],$A73)+COUNTIFS(tblLines[Store 2],C$5,tblLines[S2 Floor plan],$A73))</f>
        <v/>
      </c>
      <c r="D73">
        <f>IF(D$5="","",COUNTIFS(tblLines[Store 1],D$5,tblLines[S1 Floor plan],$A73)+COUNTIFS(tblLines[Store 2],D$5,tblLines[S2 Floor plan],$A73))</f>
        <v/>
      </c>
      <c r="E73">
        <f>IF(E$5="","",COUNTIFS(tblLines[Store 1],E$5,tblLines[S1 Floor plan],$A73)+COUNTIFS(tblLines[Store 2],E$5,tblLines[S2 Floor plan],$A73))</f>
        <v/>
      </c>
    </row>
    <row r="74">
      <c r="A74">
        <f>INDEX(lst_FloorPlan,2)</f>
        <v/>
      </c>
      <c r="B74">
        <f>IF(B$5="","",COUNTIFS(tblLines[Store 1],B$5,tblLines[S1 Floor plan],$A74)+COUNTIFS(tblLines[Store 2],B$5,tblLines[S2 Floor plan],$A74))</f>
        <v/>
      </c>
      <c r="C74">
        <f>IF(C$5="","",COUNTIFS(tblLines[Store 1],C$5,tblLines[S1 Floor plan],$A74)+COUNTIFS(tblLines[Store 2],C$5,tblLines[S2 Floor plan],$A74))</f>
        <v/>
      </c>
      <c r="D74">
        <f>IF(D$5="","",COUNTIFS(tblLines[Store 1],D$5,tblLines[S1 Floor plan],$A74)+COUNTIFS(tblLines[Store 2],D$5,tblLines[S2 Floor plan],$A74))</f>
        <v/>
      </c>
      <c r="E74">
        <f>IF(E$5="","",COUNTIFS(tblLines[Store 1],E$5,tblLines[S1 Floor plan],$A74)+COUNTIFS(tblLines[Store 2],E$5,tblLines[S2 Floor plan],$A74))</f>
        <v/>
      </c>
    </row>
    <row r="75">
      <c r="A75" t="inlineStr">
        <is>
          <t>(blank)</t>
        </is>
      </c>
      <c r="B75">
        <f>IF(B$5="","",COUNTIFS(tblLines[Store 1],B$5,tblLines[S1 Floor plan],"")+COUNTIFS(tblLines[Store 2],B$5,tblLines[S2 Floor plan],""))</f>
        <v/>
      </c>
      <c r="C75">
        <f>IF(C$5="","",COUNTIFS(tblLines[Store 1],C$5,tblLines[S1 Floor plan],"")+COUNTIFS(tblLines[Store 2],C$5,tblLines[S2 Floor plan],""))</f>
        <v/>
      </c>
      <c r="D75">
        <f>IF(D$5="","",COUNTIFS(tblLines[Store 1],D$5,tblLines[S1 Floor plan],"")+COUNTIFS(tblLines[Store 2],D$5,tblLines[S2 Floor plan],""))</f>
        <v/>
      </c>
      <c r="E75">
        <f>IF(E$5="","",COUNTIFS(tblLines[Store 1],E$5,tblLines[S1 Floor plan],"")+COUNTIFS(tblLines[Store 2],E$5,tblLines[S2 Floor plan],""))</f>
        <v/>
      </c>
    </row>
    <row r="76">
      <c r="A76" s="2" t="inlineStr">
        <is>
          <t>Done</t>
        </is>
      </c>
      <c r="B76" s="2">
        <f>IF(B$5="","",COUNTIFS(tblLines[Store 1],B$5,tblLines[S1 Floor plan],"Sent")+COUNTIFS(tblLines[Store 2],B$5,tblLines[S2 Floor plan],"Sent"))</f>
        <v/>
      </c>
      <c r="C76" s="2">
        <f>IF(C$5="","",COUNTIFS(tblLines[Store 1],C$5,tblLines[S1 Floor plan],"Sent")+COUNTIFS(tblLines[Store 2],C$5,tblLines[S2 Floor plan],"Sent"))</f>
        <v/>
      </c>
      <c r="D76" s="2">
        <f>IF(D$5="","",COUNTIFS(tblLines[Store 1],D$5,tblLines[S1 Floor plan],"Sent")+COUNTIFS(tblLines[Store 2],D$5,tblLines[S2 Floor plan],"Sent"))</f>
        <v/>
      </c>
      <c r="E76" s="2">
        <f>IF(E$5="","",COUNTIFS(tblLines[Store 1],E$5,tblLines[S1 Floor plan],"Sent")+COUNTIFS(tblLines[Store 2],E$5,tblLines[S2 Floor plan],"Sent"))</f>
        <v/>
      </c>
    </row>
    <row r="78">
      <c r="A78" s="2" t="inlineStr">
        <is>
          <t>PO per store</t>
        </is>
      </c>
      <c r="B78" s="2">
        <f>IF(B$5="","",B$5)</f>
        <v/>
      </c>
      <c r="C78" s="2">
        <f>IF(C$5="","",C$5)</f>
        <v/>
      </c>
      <c r="D78" s="2">
        <f>IF(D$5="","",D$5)</f>
        <v/>
      </c>
      <c r="E78" s="2">
        <f>IF(E$5="","",E$5)</f>
        <v/>
      </c>
    </row>
    <row r="79">
      <c r="A79">
        <f>INDEX(lst_PO,1)</f>
        <v/>
      </c>
      <c r="B79">
        <f>IF(B$5="","",COUNTIFS(tblLines[Store 1],B$5,tblLines[S1 PO],$A79)+COUNTIFS(tblLines[Store 2],B$5,tblLines[S2 PO],$A79))</f>
        <v/>
      </c>
      <c r="C79">
        <f>IF(C$5="","",COUNTIFS(tblLines[Store 1],C$5,tblLines[S1 PO],$A79)+COUNTIFS(tblLines[Store 2],C$5,tblLines[S2 PO],$A79))</f>
        <v/>
      </c>
      <c r="D79">
        <f>IF(D$5="","",COUNTIFS(tblLines[Store 1],D$5,tblLines[S1 PO],$A79)+COUNTIFS(tblLines[Store 2],D$5,tblLines[S2 PO],$A79))</f>
        <v/>
      </c>
      <c r="E79">
        <f>IF(E$5="","",COUNTIFS(tblLines[Store 1],E$5,tblLines[S1 PO],$A79)+COUNTIFS(tblLines[Store 2],E$5,tblLines[S2 PO],$A79))</f>
        <v/>
      </c>
    </row>
    <row r="80">
      <c r="A80">
        <f>INDEX(lst_PO,2)</f>
        <v/>
      </c>
      <c r="B80">
        <f>IF(B$5="","",COUNTIFS(tblLines[Store 1],B$5,tblLines[S1 PO],$A80)+COUNTIFS(tblLines[Store 2],B$5,tblLines[S2 PO],$A80))</f>
        <v/>
      </c>
      <c r="C80">
        <f>IF(C$5="","",COUNTIFS(tblLines[Store 1],C$5,tblLines[S1 PO],$A80)+COUNTIFS(tblLines[Store 2],C$5,tblLines[S2 PO],$A80))</f>
        <v/>
      </c>
      <c r="D80">
        <f>IF(D$5="","",COUNTIFS(tblLines[Store 1],D$5,tblLines[S1 PO],$A80)+COUNTIFS(tblLines[Store 2],D$5,tblLines[S2 PO],$A80))</f>
        <v/>
      </c>
      <c r="E80">
        <f>IF(E$5="","",COUNTIFS(tblLines[Store 1],E$5,tblLines[S1 PO],$A80)+COUNTIFS(tblLines[Store 2],E$5,tblLines[S2 PO],$A80))</f>
        <v/>
      </c>
    </row>
    <row r="81">
      <c r="A81">
        <f>INDEX(lst_PO,3)</f>
        <v/>
      </c>
      <c r="B81">
        <f>IF(B$5="","",COUNTIFS(tblLines[Store 1],B$5,tblLines[S1 PO],$A81)+COUNTIFS(tblLines[Store 2],B$5,tblLines[S2 PO],$A81))</f>
        <v/>
      </c>
      <c r="C81">
        <f>IF(C$5="","",COUNTIFS(tblLines[Store 1],C$5,tblLines[S1 PO],$A81)+COUNTIFS(tblLines[Store 2],C$5,tblLines[S2 PO],$A81))</f>
        <v/>
      </c>
      <c r="D81">
        <f>IF(D$5="","",COUNTIFS(tblLines[Store 1],D$5,tblLines[S1 PO],$A81)+COUNTIFS(tblLines[Store 2],D$5,tblLines[S2 PO],$A81))</f>
        <v/>
      </c>
      <c r="E81">
        <f>IF(E$5="","",COUNTIFS(tblLines[Store 1],E$5,tblLines[S1 PO],$A81)+COUNTIFS(tblLines[Store 2],E$5,tblLines[S2 PO],$A81))</f>
        <v/>
      </c>
    </row>
    <row r="82">
      <c r="A82">
        <f>INDEX(lst_PO,4)</f>
        <v/>
      </c>
      <c r="B82">
        <f>IF(B$5="","",COUNTIFS(tblLines[Store 1],B$5,tblLines[S1 PO],$A82)+COUNTIFS(tblLines[Store 2],B$5,tblLines[S2 PO],$A82))</f>
        <v/>
      </c>
      <c r="C82">
        <f>IF(C$5="","",COUNTIFS(tblLines[Store 1],C$5,tblLines[S1 PO],$A82)+COUNTIFS(tblLines[Store 2],C$5,tblLines[S2 PO],$A82))</f>
        <v/>
      </c>
      <c r="D82">
        <f>IF(D$5="","",COUNTIFS(tblLines[Store 1],D$5,tblLines[S1 PO],$A82)+COUNTIFS(tblLines[Store 2],D$5,tblLines[S2 PO],$A82))</f>
        <v/>
      </c>
      <c r="E82">
        <f>IF(E$5="","",COUNTIFS(tblLines[Store 1],E$5,tblLines[S1 PO],$A82)+COUNTIFS(tblLines[Store 2],E$5,tblLines[S2 PO],$A82))</f>
        <v/>
      </c>
    </row>
    <row r="83">
      <c r="A83">
        <f>INDEX(lst_PO,5)</f>
        <v/>
      </c>
      <c r="B83">
        <f>IF(B$5="","",COUNTIFS(tblLines[Store 1],B$5,tblLines[S1 PO],$A83)+COUNTIFS(tblLines[Store 2],B$5,tblLines[S2 PO],$A83))</f>
        <v/>
      </c>
      <c r="C83">
        <f>IF(C$5="","",COUNTIFS(tblLines[Store 1],C$5,tblLines[S1 PO],$A83)+COUNTIFS(tblLines[Store 2],C$5,tblLines[S2 PO],$A83))</f>
        <v/>
      </c>
      <c r="D83">
        <f>IF(D$5="","",COUNTIFS(tblLines[Store 1],D$5,tblLines[S1 PO],$A83)+COUNTIFS(tblLines[Store 2],D$5,tblLines[S2 PO],$A83))</f>
        <v/>
      </c>
      <c r="E83">
        <f>IF(E$5="","",COUNTIFS(tblLines[Store 1],E$5,tblLines[S1 PO],$A83)+COUNTIFS(tblLines[Store 2],E$5,tblLines[S2 PO],$A83))</f>
        <v/>
      </c>
    </row>
    <row r="84">
      <c r="A84">
        <f>INDEX(lst_PO,6)</f>
        <v/>
      </c>
      <c r="B84">
        <f>IF(B$5="","",COUNTIFS(tblLines[Store 1],B$5,tblLines[S1 PO],$A84)+COUNTIFS(tblLines[Store 2],B$5,tblLines[S2 PO],$A84))</f>
        <v/>
      </c>
      <c r="C84">
        <f>IF(C$5="","",COUNTIFS(tblLines[Store 1],C$5,tblLines[S1 PO],$A84)+COUNTIFS(tblLines[Store 2],C$5,tblLines[S2 PO],$A84))</f>
        <v/>
      </c>
      <c r="D84">
        <f>IF(D$5="","",COUNTIFS(tblLines[Store 1],D$5,tblLines[S1 PO],$A84)+COUNTIFS(tblLines[Store 2],D$5,tblLines[S2 PO],$A84))</f>
        <v/>
      </c>
      <c r="E84">
        <f>IF(E$5="","",COUNTIFS(tblLines[Store 1],E$5,tblLines[S1 PO],$A84)+COUNTIFS(tblLines[Store 2],E$5,tblLines[S2 PO],$A84))</f>
        <v/>
      </c>
    </row>
    <row r="85">
      <c r="A85">
        <f>INDEX(lst_PO,7)</f>
        <v/>
      </c>
      <c r="B85">
        <f>IF(B$5="","",COUNTIFS(tblLines[Store 1],B$5,tblLines[S1 PO],$A85)+COUNTIFS(tblLines[Store 2],B$5,tblLines[S2 PO],$A85))</f>
        <v/>
      </c>
      <c r="C85">
        <f>IF(C$5="","",COUNTIFS(tblLines[Store 1],C$5,tblLines[S1 PO],$A85)+COUNTIFS(tblLines[Store 2],C$5,tblLines[S2 PO],$A85))</f>
        <v/>
      </c>
      <c r="D85">
        <f>IF(D$5="","",COUNTIFS(tblLines[Store 1],D$5,tblLines[S1 PO],$A85)+COUNTIFS(tblLines[Store 2],D$5,tblLines[S2 PO],$A85))</f>
        <v/>
      </c>
      <c r="E85">
        <f>IF(E$5="","",COUNTIFS(tblLines[Store 1],E$5,tblLines[S1 PO],$A85)+COUNTIFS(tblLines[Store 2],E$5,tblLines[S2 PO],$A85))</f>
        <v/>
      </c>
    </row>
    <row r="86">
      <c r="A86">
        <f>INDEX(lst_PO,8)</f>
        <v/>
      </c>
      <c r="B86">
        <f>IF(B$5="","",COUNTIFS(tblLines[Store 1],B$5,tblLines[S1 PO],$A86)+COUNTIFS(tblLines[Store 2],B$5,tblLines[S2 PO],$A86))</f>
        <v/>
      </c>
      <c r="C86">
        <f>IF(C$5="","",COUNTIFS(tblLines[Store 1],C$5,tblLines[S1 PO],$A86)+COUNTIFS(tblLines[Store 2],C$5,tblLines[S2 PO],$A86))</f>
        <v/>
      </c>
      <c r="D86">
        <f>IF(D$5="","",COUNTIFS(tblLines[Store 1],D$5,tblLines[S1 PO],$A86)+COUNTIFS(tblLines[Store 2],D$5,tblLines[S2 PO],$A86))</f>
        <v/>
      </c>
      <c r="E86">
        <f>IF(E$5="","",COUNTIFS(tblLines[Store 1],E$5,tblLines[S1 PO],$A86)+COUNTIFS(tblLines[Store 2],E$5,tblLines[S2 PO],$A86))</f>
        <v/>
      </c>
    </row>
    <row r="87">
      <c r="A87">
        <f>INDEX(lst_PO,9)</f>
        <v/>
      </c>
      <c r="B87">
        <f>IF(B$5="","",COUNTIFS(tblLines[Store 1],B$5,tblLines[S1 PO],$A87)+COUNTIFS(tblLines[Store 2],B$5,tblLines[S2 PO],$A87))</f>
        <v/>
      </c>
      <c r="C87">
        <f>IF(C$5="","",COUNTIFS(tblLines[Store 1],C$5,tblLines[S1 PO],$A87)+COUNTIFS(tblLines[Store 2],C$5,tblLines[S2 PO],$A87))</f>
        <v/>
      </c>
      <c r="D87">
        <f>IF(D$5="","",COUNTIFS(tblLines[Store 1],D$5,tblLines[S1 PO],$A87)+COUNTIFS(tblLines[Store 2],D$5,tblLines[S2 PO],$A87))</f>
        <v/>
      </c>
      <c r="E87">
        <f>IF(E$5="","",COUNTIFS(tblLines[Store 1],E$5,tblLines[S1 PO],$A87)+COUNTIFS(tblLines[Store 2],E$5,tblLines[S2 PO],$A87))</f>
        <v/>
      </c>
    </row>
    <row r="88">
      <c r="A88" t="inlineStr">
        <is>
          <t>(blank)</t>
        </is>
      </c>
      <c r="B88">
        <f>IF(B$5="","",COUNTIFS(tblLines[Store 1],B$5,tblLines[S1 PO],"")+COUNTIFS(tblLines[Store 2],B$5,tblLines[S2 PO],""))</f>
        <v/>
      </c>
      <c r="C88">
        <f>IF(C$5="","",COUNTIFS(tblLines[Store 1],C$5,tblLines[S1 PO],"")+COUNTIFS(tblLines[Store 2],C$5,tblLines[S2 PO],""))</f>
        <v/>
      </c>
      <c r="D88">
        <f>IF(D$5="","",COUNTIFS(tblLines[Store 1],D$5,tblLines[S1 PO],"")+COUNTIFS(tblLines[Store 2],D$5,tblLines[S2 PO],""))</f>
        <v/>
      </c>
      <c r="E88">
        <f>IF(E$5="","",COUNTIFS(tblLines[Store 1],E$5,tblLines[S1 PO],"")+COUNTIFS(tblLines[Store 2],E$5,tblLines[S2 PO],""))</f>
        <v/>
      </c>
    </row>
    <row r="89">
      <c r="A89" s="2" t="inlineStr">
        <is>
          <t>Done</t>
        </is>
      </c>
      <c r="B89" s="2">
        <f>IF(B$5="","",COUNTIFS(tblLines[Store 1],B$5,tblLines[S1 PO],"Released")+COUNTIFS(tblLines[Store 1],B$5,tblLines[S1 PO],"Picked at US DC")+COUNTIFS(tblLines[Store 2],B$5,tblLines[S2 PO],"Released")+COUNTIFS(tblLines[Store 2],B$5,tblLines[S2 PO],"Picked at US DC"))</f>
        <v/>
      </c>
      <c r="C89" s="2">
        <f>IF(C$5="","",COUNTIFS(tblLines[Store 1],C$5,tblLines[S1 PO],"Released")+COUNTIFS(tblLines[Store 1],C$5,tblLines[S1 PO],"Picked at US DC")+COUNTIFS(tblLines[Store 2],C$5,tblLines[S2 PO],"Released")+COUNTIFS(tblLines[Store 2],C$5,tblLines[S2 PO],"Picked at US DC"))</f>
        <v/>
      </c>
      <c r="D89" s="2">
        <f>IF(D$5="","",COUNTIFS(tblLines[Store 1],D$5,tblLines[S1 PO],"Released")+COUNTIFS(tblLines[Store 1],D$5,tblLines[S1 PO],"Picked at US DC")+COUNTIFS(tblLines[Store 2],D$5,tblLines[S2 PO],"Released")+COUNTIFS(tblLines[Store 2],D$5,tblLines[S2 PO],"Picked at US DC"))</f>
        <v/>
      </c>
      <c r="E89" s="2">
        <f>IF(E$5="","",COUNTIFS(tblLines[Store 1],E$5,tblLines[S1 PO],"Released")+COUNTIFS(tblLines[Store 1],E$5,tblLines[S1 PO],"Picked at US DC")+COUNTIFS(tblLines[Store 2],E$5,tblLines[S2 PO],"Released")+COUNTIFS(tblLines[Store 2],E$5,tblLines[S2 PO],"Picked at US DC"))</f>
        <v/>
      </c>
    </row>
    <row r="91">
      <c r="A91" s="2" t="inlineStr">
        <is>
          <t>At launch per store</t>
        </is>
      </c>
      <c r="B91" s="2">
        <f>IF(B$5="","",B$5)</f>
        <v/>
      </c>
      <c r="C91" s="2">
        <f>IF(C$5="","",C$5)</f>
        <v/>
      </c>
      <c r="D91" s="2">
        <f>IF(D$5="","",D$5)</f>
        <v/>
      </c>
      <c r="E91" s="2">
        <f>IF(E$5="","",E$5)</f>
        <v/>
      </c>
    </row>
    <row r="92">
      <c r="A92">
        <f>INDEX(lst_AtLaunch,1)</f>
        <v/>
      </c>
      <c r="B92">
        <f>IF(B$5="","",COUNTIFS(tblLines[Store 1],B$5,tblLines[S1 At launch],$A92)+COUNTIFS(tblLines[Store 2],B$5,tblLines[S2 At launch],$A92))</f>
        <v/>
      </c>
      <c r="C92">
        <f>IF(C$5="","",COUNTIFS(tblLines[Store 1],C$5,tblLines[S1 At launch],$A92)+COUNTIFS(tblLines[Store 2],C$5,tblLines[S2 At launch],$A92))</f>
        <v/>
      </c>
      <c r="D92">
        <f>IF(D$5="","",COUNTIFS(tblLines[Store 1],D$5,tblLines[S1 At launch],$A92)+COUNTIFS(tblLines[Store 2],D$5,tblLines[S2 At launch],$A92))</f>
        <v/>
      </c>
      <c r="E92">
        <f>IF(E$5="","",COUNTIFS(tblLines[Store 1],E$5,tblLines[S1 At launch],$A92)+COUNTIFS(tblLines[Store 2],E$5,tblLines[S2 At launch],$A92))</f>
        <v/>
      </c>
    </row>
    <row r="93">
      <c r="A93">
        <f>INDEX(lst_AtLaunch,2)</f>
        <v/>
      </c>
      <c r="B93">
        <f>IF(B$5="","",COUNTIFS(tblLines[Store 1],B$5,tblLines[S1 At launch],$A93)+COUNTIFS(tblLines[Store 2],B$5,tblLines[S2 At launch],$A93))</f>
        <v/>
      </c>
      <c r="C93">
        <f>IF(C$5="","",COUNTIFS(tblLines[Store 1],C$5,tblLines[S1 At launch],$A93)+COUNTIFS(tblLines[Store 2],C$5,tblLines[S2 At launch],$A93))</f>
        <v/>
      </c>
      <c r="D93">
        <f>IF(D$5="","",COUNTIFS(tblLines[Store 1],D$5,tblLines[S1 At launch],$A93)+COUNTIFS(tblLines[Store 2],D$5,tblLines[S2 At launch],$A93))</f>
        <v/>
      </c>
      <c r="E93">
        <f>IF(E$5="","",COUNTIFS(tblLines[Store 1],E$5,tblLines[S1 At launch],$A93)+COUNTIFS(tblLines[Store 2],E$5,tblLines[S2 At launch],$A93))</f>
        <v/>
      </c>
    </row>
    <row r="94">
      <c r="A94">
        <f>INDEX(lst_AtLaunch,3)</f>
        <v/>
      </c>
      <c r="B94">
        <f>IF(B$5="","",COUNTIFS(tblLines[Store 1],B$5,tblLines[S1 At launch],$A94)+COUNTIFS(tblLines[Store 2],B$5,tblLines[S2 At launch],$A94))</f>
        <v/>
      </c>
      <c r="C94">
        <f>IF(C$5="","",COUNTIFS(tblLines[Store 1],C$5,tblLines[S1 At launch],$A94)+COUNTIFS(tblLines[Store 2],C$5,tblLines[S2 At launch],$A94))</f>
        <v/>
      </c>
      <c r="D94">
        <f>IF(D$5="","",COUNTIFS(tblLines[Store 1],D$5,tblLines[S1 At launch],$A94)+COUNTIFS(tblLines[Store 2],D$5,tblLines[S2 At launch],$A94))</f>
        <v/>
      </c>
      <c r="E94">
        <f>IF(E$5="","",COUNTIFS(tblLines[Store 1],E$5,tblLines[S1 At launch],$A94)+COUNTIFS(tblLines[Store 2],E$5,tblLines[S2 At launch],$A94))</f>
        <v/>
      </c>
    </row>
    <row r="95">
      <c r="A95">
        <f>INDEX(lst_AtLaunch,4)</f>
        <v/>
      </c>
      <c r="B95">
        <f>IF(B$5="","",COUNTIFS(tblLines[Store 1],B$5,tblLines[S1 At launch],$A95)+COUNTIFS(tblLines[Store 2],B$5,tblLines[S2 At launch],$A95))</f>
        <v/>
      </c>
      <c r="C95">
        <f>IF(C$5="","",COUNTIFS(tblLines[Store 1],C$5,tblLines[S1 At launch],$A95)+COUNTIFS(tblLines[Store 2],C$5,tblLines[S2 At launch],$A95))</f>
        <v/>
      </c>
      <c r="D95">
        <f>IF(D$5="","",COUNTIFS(tblLines[Store 1],D$5,tblLines[S1 At launch],$A95)+COUNTIFS(tblLines[Store 2],D$5,tblLines[S2 At launch],$A95))</f>
        <v/>
      </c>
      <c r="E95">
        <f>IF(E$5="","",COUNTIFS(tblLines[Store 1],E$5,tblLines[S1 At launch],$A95)+COUNTIFS(tblLines[Store 2],E$5,tblLines[S2 At launch],$A95))</f>
        <v/>
      </c>
    </row>
    <row r="96">
      <c r="A96">
        <f>INDEX(lst_AtLaunch,5)</f>
        <v/>
      </c>
      <c r="B96">
        <f>IF(B$5="","",COUNTIFS(tblLines[Store 1],B$5,tblLines[S1 At launch],$A96)+COUNTIFS(tblLines[Store 2],B$5,tblLines[S2 At launch],$A96))</f>
        <v/>
      </c>
      <c r="C96">
        <f>IF(C$5="","",COUNTIFS(tblLines[Store 1],C$5,tblLines[S1 At launch],$A96)+COUNTIFS(tblLines[Store 2],C$5,tblLines[S2 At launch],$A96))</f>
        <v/>
      </c>
      <c r="D96">
        <f>IF(D$5="","",COUNTIFS(tblLines[Store 1],D$5,tblLines[S1 At launch],$A96)+COUNTIFS(tblLines[Store 2],D$5,tblLines[S2 At launch],$A96))</f>
        <v/>
      </c>
      <c r="E96">
        <f>IF(E$5="","",COUNTIFS(tblLines[Store 1],E$5,tblLines[S1 At launch],$A96)+COUNTIFS(tblLines[Store 2],E$5,tblLines[S2 At launch],$A96))</f>
        <v/>
      </c>
    </row>
    <row r="97">
      <c r="A97">
        <f>INDEX(lst_AtLaunch,6)</f>
        <v/>
      </c>
      <c r="B97">
        <f>IF(B$5="","",COUNTIFS(tblLines[Store 1],B$5,tblLines[S1 At launch],$A97)+COUNTIFS(tblLines[Store 2],B$5,tblLines[S2 At launch],$A97))</f>
        <v/>
      </c>
      <c r="C97">
        <f>IF(C$5="","",COUNTIFS(tblLines[Store 1],C$5,tblLines[S1 At launch],$A97)+COUNTIFS(tblLines[Store 2],C$5,tblLines[S2 At launch],$A97))</f>
        <v/>
      </c>
      <c r="D97">
        <f>IF(D$5="","",COUNTIFS(tblLines[Store 1],D$5,tblLines[S1 At launch],$A97)+COUNTIFS(tblLines[Store 2],D$5,tblLines[S2 At launch],$A97))</f>
        <v/>
      </c>
      <c r="E97">
        <f>IF(E$5="","",COUNTIFS(tblLines[Store 1],E$5,tblLines[S1 At launch],$A97)+COUNTIFS(tblLines[Store 2],E$5,tblLines[S2 At launch],$A97))</f>
        <v/>
      </c>
    </row>
    <row r="98">
      <c r="A98">
        <f>INDEX(lst_AtLaunch,7)</f>
        <v/>
      </c>
      <c r="B98">
        <f>IF(B$5="","",COUNTIFS(tblLines[Store 1],B$5,tblLines[S1 At launch],$A98)+COUNTIFS(tblLines[Store 2],B$5,tblLines[S2 At launch],$A98))</f>
        <v/>
      </c>
      <c r="C98">
        <f>IF(C$5="","",COUNTIFS(tblLines[Store 1],C$5,tblLines[S1 At launch],$A98)+COUNTIFS(tblLines[Store 2],C$5,tblLines[S2 At launch],$A98))</f>
        <v/>
      </c>
      <c r="D98">
        <f>IF(D$5="","",COUNTIFS(tblLines[Store 1],D$5,tblLines[S1 At launch],$A98)+COUNTIFS(tblLines[Store 2],D$5,tblLines[S2 At launch],$A98))</f>
        <v/>
      </c>
      <c r="E98">
        <f>IF(E$5="","",COUNTIFS(tblLines[Store 1],E$5,tblLines[S1 At launch],$A98)+COUNTIFS(tblLines[Store 2],E$5,tblLines[S2 At launch],$A98))</f>
        <v/>
      </c>
    </row>
    <row r="99">
      <c r="A99">
        <f>INDEX(lst_AtLaunch,8)</f>
        <v/>
      </c>
      <c r="B99">
        <f>IF(B$5="","",COUNTIFS(tblLines[Store 1],B$5,tblLines[S1 At launch],$A99)+COUNTIFS(tblLines[Store 2],B$5,tblLines[S2 At launch],$A99))</f>
        <v/>
      </c>
      <c r="C99">
        <f>IF(C$5="","",COUNTIFS(tblLines[Store 1],C$5,tblLines[S1 At launch],$A99)+COUNTIFS(tblLines[Store 2],C$5,tblLines[S2 At launch],$A99))</f>
        <v/>
      </c>
      <c r="D99">
        <f>IF(D$5="","",COUNTIFS(tblLines[Store 1],D$5,tblLines[S1 At launch],$A99)+COUNTIFS(tblLines[Store 2],D$5,tblLines[S2 At launch],$A99))</f>
        <v/>
      </c>
      <c r="E99">
        <f>IF(E$5="","",COUNTIFS(tblLines[Store 1],E$5,tblLines[S1 At launch],$A99)+COUNTIFS(tblLines[Store 2],E$5,tblLines[S2 At launch],$A99))</f>
        <v/>
      </c>
    </row>
    <row r="100">
      <c r="A100">
        <f>INDEX(lst_AtLaunch,9)</f>
        <v/>
      </c>
      <c r="B100">
        <f>IF(B$5="","",COUNTIFS(tblLines[Store 1],B$5,tblLines[S1 At launch],$A100)+COUNTIFS(tblLines[Store 2],B$5,tblLines[S2 At launch],$A100))</f>
        <v/>
      </c>
      <c r="C100">
        <f>IF(C$5="","",COUNTIFS(tblLines[Store 1],C$5,tblLines[S1 At launch],$A100)+COUNTIFS(tblLines[Store 2],C$5,tblLines[S2 At launch],$A100))</f>
        <v/>
      </c>
      <c r="D100">
        <f>IF(D$5="","",COUNTIFS(tblLines[Store 1],D$5,tblLines[S1 At launch],$A100)+COUNTIFS(tblLines[Store 2],D$5,tblLines[S2 At launch],$A100))</f>
        <v/>
      </c>
      <c r="E100">
        <f>IF(E$5="","",COUNTIFS(tblLines[Store 1],E$5,tblLines[S1 At launch],$A100)+COUNTIFS(tblLines[Store 2],E$5,tblLines[S2 At launch],$A100))</f>
        <v/>
      </c>
    </row>
    <row r="101">
      <c r="A101" t="inlineStr">
        <is>
          <t>(blank)</t>
        </is>
      </c>
      <c r="B101">
        <f>IF(B$5="","",COUNTIFS(tblLines[Store 1],B$5,tblLines[S1 At launch],"")+COUNTIFS(tblLines[Store 2],B$5,tblLines[S2 At launch],""))</f>
        <v/>
      </c>
      <c r="C101">
        <f>IF(C$5="","",COUNTIFS(tblLines[Store 1],C$5,tblLines[S1 At launch],"")+COUNTIFS(tblLines[Store 2],C$5,tblLines[S2 At launch],""))</f>
        <v/>
      </c>
      <c r="D101">
        <f>IF(D$5="","",COUNTIFS(tblLines[Store 1],D$5,tblLines[S1 At launch],"")+COUNTIFS(tblLines[Store 2],D$5,tblLines[S2 At launch],""))</f>
        <v/>
      </c>
      <c r="E101">
        <f>IF(E$5="","",COUNTIFS(tblLines[Store 1],E$5,tblLines[S1 At launch],"")+COUNTIFS(tblLines[Store 2],E$5,tblLines[S2 At launch],""))</f>
        <v/>
      </c>
    </row>
    <row r="103">
      <c r="A103" s="2" t="inlineStr">
        <is>
          <t>VPA status</t>
        </is>
      </c>
      <c r="B103" s="2" t="inlineStr">
        <is>
          <t>Lines</t>
        </is>
      </c>
      <c r="C103" s="2" t="inlineStr">
        <is>
          <t>Share</t>
        </is>
      </c>
    </row>
    <row r="104">
      <c r="A104">
        <f>INDEX(lst_VPA,1)</f>
        <v/>
      </c>
      <c r="B104">
        <f>COUNTIFS(tblLines[Launch],$B$4,tblLines[VPA status],$A104)</f>
        <v/>
      </c>
      <c r="C104" s="20">
        <f>IFERROR(B104/$B$7,0)</f>
        <v/>
      </c>
    </row>
    <row r="105">
      <c r="A105">
        <f>INDEX(lst_VPA,2)</f>
        <v/>
      </c>
      <c r="B105">
        <f>COUNTIFS(tblLines[Launch],$B$4,tblLines[VPA status],$A105)</f>
        <v/>
      </c>
      <c r="C105" s="20">
        <f>IFERROR(B105/$B$7,0)</f>
        <v/>
      </c>
    </row>
    <row r="106">
      <c r="A106">
        <f>INDEX(lst_VPA,3)</f>
        <v/>
      </c>
      <c r="B106">
        <f>COUNTIFS(tblLines[Launch],$B$4,tblLines[VPA status],$A106)</f>
        <v/>
      </c>
      <c r="C106" s="20">
        <f>IFERROR(B106/$B$7,0)</f>
        <v/>
      </c>
    </row>
    <row r="107">
      <c r="A107">
        <f>INDEX(lst_VPA,4)</f>
        <v/>
      </c>
      <c r="B107">
        <f>COUNTIFS(tblLines[Launch],$B$4,tblLines[VPA status],$A107)</f>
        <v/>
      </c>
      <c r="C107" s="20">
        <f>IFERROR(B107/$B$7,0)</f>
        <v/>
      </c>
    </row>
    <row r="108">
      <c r="A108" t="inlineStr">
        <is>
          <t>(blank)</t>
        </is>
      </c>
      <c r="B108">
        <f>COUNTIFS(tblLines[Launch],$B$4,tblLines[VPA status],"")</f>
        <v/>
      </c>
      <c r="C108" s="20">
        <f>IFERROR(B108/$B$7,0)</f>
        <v/>
      </c>
    </row>
    <row r="109">
      <c r="A109" s="2" t="inlineStr">
        <is>
          <t>Done</t>
        </is>
      </c>
      <c r="B109" s="2">
        <f>COUNTIFS(tblLines[Launch],$B$4,tblLines[VPA status],"Signed")</f>
        <v/>
      </c>
      <c r="C109" s="20">
        <f>IFERROR(B109/$B$7,0)</f>
        <v/>
      </c>
    </row>
    <row r="111">
      <c r="A111" s="2" t="inlineStr">
        <is>
          <t>Data set-up</t>
        </is>
      </c>
      <c r="B111" s="2" t="inlineStr">
        <is>
          <t>Lines</t>
        </is>
      </c>
      <c r="C111" s="2" t="inlineStr">
        <is>
          <t>Share</t>
        </is>
      </c>
    </row>
    <row r="112">
      <c r="A112">
        <f>INDEX(lst_Registration,1)</f>
        <v/>
      </c>
      <c r="B112">
        <f>COUNTIFS(tblLines[Launch],$B$4,tblLines[Data set-up],$A112)</f>
        <v/>
      </c>
      <c r="C112" s="20">
        <f>IFERROR(B112/$B$7,0)</f>
        <v/>
      </c>
    </row>
    <row r="113">
      <c r="A113">
        <f>INDEX(lst_Registration,2)</f>
        <v/>
      </c>
      <c r="B113">
        <f>COUNTIFS(tblLines[Launch],$B$4,tblLines[Data set-up],$A113)</f>
        <v/>
      </c>
      <c r="C113" s="20">
        <f>IFERROR(B113/$B$7,0)</f>
        <v/>
      </c>
    </row>
    <row r="114">
      <c r="A114">
        <f>INDEX(lst_Registration,3)</f>
        <v/>
      </c>
      <c r="B114">
        <f>COUNTIFS(tblLines[Launch],$B$4,tblLines[Data set-up],$A114)</f>
        <v/>
      </c>
      <c r="C114" s="20">
        <f>IFERROR(B114/$B$7,0)</f>
        <v/>
      </c>
    </row>
    <row r="115">
      <c r="A115">
        <f>INDEX(lst_Registration,4)</f>
        <v/>
      </c>
      <c r="B115">
        <f>COUNTIFS(tblLines[Launch],$B$4,tblLines[Data set-up],$A115)</f>
        <v/>
      </c>
      <c r="C115" s="20">
        <f>IFERROR(B115/$B$7,0)</f>
        <v/>
      </c>
    </row>
    <row r="116">
      <c r="A116">
        <f>INDEX(lst_Registration,5)</f>
        <v/>
      </c>
      <c r="B116">
        <f>COUNTIFS(tblLines[Launch],$B$4,tblLines[Data set-up],$A116)</f>
        <v/>
      </c>
      <c r="C116" s="20">
        <f>IFERROR(B116/$B$7,0)</f>
        <v/>
      </c>
    </row>
    <row r="117">
      <c r="A117">
        <f>INDEX(lst_Registration,6)</f>
        <v/>
      </c>
      <c r="B117">
        <f>COUNTIFS(tblLines[Launch],$B$4,tblLines[Data set-up],$A117)</f>
        <v/>
      </c>
      <c r="C117" s="20">
        <f>IFERROR(B117/$B$7,0)</f>
        <v/>
      </c>
    </row>
    <row r="118">
      <c r="A118">
        <f>INDEX(lst_Registration,7)</f>
        <v/>
      </c>
      <c r="B118">
        <f>COUNTIFS(tblLines[Launch],$B$4,tblLines[Data set-up],$A118)</f>
        <v/>
      </c>
      <c r="C118" s="20">
        <f>IFERROR(B118/$B$7,0)</f>
        <v/>
      </c>
    </row>
    <row r="119">
      <c r="A119">
        <f>INDEX(lst_Registration,8)</f>
        <v/>
      </c>
      <c r="B119">
        <f>COUNTIFS(tblLines[Launch],$B$4,tblLines[Data set-up],$A119)</f>
        <v/>
      </c>
      <c r="C119" s="20">
        <f>IFERROR(B119/$B$7,0)</f>
        <v/>
      </c>
    </row>
    <row r="120">
      <c r="A120">
        <f>INDEX(lst_Registration,9)</f>
        <v/>
      </c>
      <c r="B120">
        <f>COUNTIFS(tblLines[Launch],$B$4,tblLines[Data set-up],$A120)</f>
        <v/>
      </c>
      <c r="C120" s="20">
        <f>IFERROR(B120/$B$7,0)</f>
        <v/>
      </c>
    </row>
    <row r="121">
      <c r="A121">
        <f>INDEX(lst_Registration,10)</f>
        <v/>
      </c>
      <c r="B121">
        <f>COUNTIFS(tblLines[Launch],$B$4,tblLines[Data set-up],$A121)</f>
        <v/>
      </c>
      <c r="C121" s="20">
        <f>IFERROR(B121/$B$7,0)</f>
        <v/>
      </c>
    </row>
    <row r="122">
      <c r="A122" t="inlineStr">
        <is>
          <t>(blank)</t>
        </is>
      </c>
      <c r="B122">
        <f>COUNTIFS(tblLines[Launch],$B$4,tblLines[Data set-up],"")</f>
        <v/>
      </c>
      <c r="C122" s="20">
        <f>IFERROR(B122/$B$7,0)</f>
        <v/>
      </c>
    </row>
    <row r="123">
      <c r="A123" s="2" t="inlineStr">
        <is>
          <t>Done</t>
        </is>
      </c>
      <c r="B123" s="2">
        <f>COUNTIFS(tblLines[Launch],$B$4,tblLines[Data set-up],"Not needed")+COUNTIFS(tblLines[Launch],$B$4,tblLines[Data set-up],"Registered")</f>
        <v/>
      </c>
      <c r="C123" s="20">
        <f>IFERROR(B123/$B$7,0)</f>
        <v/>
      </c>
    </row>
    <row r="125">
      <c r="A125" s="2" t="inlineStr">
        <is>
          <t>Project comms</t>
        </is>
      </c>
      <c r="B125" s="2" t="inlineStr">
        <is>
          <t>Lines</t>
        </is>
      </c>
      <c r="C125" s="2" t="inlineStr">
        <is>
          <t>Share</t>
        </is>
      </c>
    </row>
    <row r="126">
      <c r="A126">
        <f>INDEX(lst_ProjectComms,1)</f>
        <v/>
      </c>
      <c r="B126">
        <f>COUNTIFS(tblLines[Launch],$B$4,tblLines[Project comms],$A126)</f>
        <v/>
      </c>
      <c r="C126" s="20">
        <f>IFERROR(B126/$B$7,0)</f>
        <v/>
      </c>
    </row>
    <row r="127">
      <c r="A127">
        <f>INDEX(lst_ProjectComms,2)</f>
        <v/>
      </c>
      <c r="B127">
        <f>COUNTIFS(tblLines[Launch],$B$4,tblLines[Project comms],$A127)</f>
        <v/>
      </c>
      <c r="C127" s="20">
        <f>IFERROR(B127/$B$7,0)</f>
        <v/>
      </c>
    </row>
    <row r="128">
      <c r="A128">
        <f>INDEX(lst_ProjectComms,3)</f>
        <v/>
      </c>
      <c r="B128">
        <f>COUNTIFS(tblLines[Launch],$B$4,tblLines[Project comms],$A128)</f>
        <v/>
      </c>
      <c r="C128" s="20">
        <f>IFERROR(B128/$B$7,0)</f>
        <v/>
      </c>
    </row>
    <row r="129">
      <c r="A129">
        <f>INDEX(lst_ProjectComms,4)</f>
        <v/>
      </c>
      <c r="B129">
        <f>COUNTIFS(tblLines[Launch],$B$4,tblLines[Project comms],$A129)</f>
        <v/>
      </c>
      <c r="C129" s="20">
        <f>IFERROR(B129/$B$7,0)</f>
        <v/>
      </c>
    </row>
    <row r="130">
      <c r="A130">
        <f>INDEX(lst_ProjectComms,5)</f>
        <v/>
      </c>
      <c r="B130">
        <f>COUNTIFS(tblLines[Launch],$B$4,tblLines[Project comms],$A130)</f>
        <v/>
      </c>
      <c r="C130" s="20">
        <f>IFERROR(B130/$B$7,0)</f>
        <v/>
      </c>
    </row>
    <row r="131">
      <c r="A131">
        <f>INDEX(lst_ProjectComms,6)</f>
        <v/>
      </c>
      <c r="B131">
        <f>COUNTIFS(tblLines[Launch],$B$4,tblLines[Project comms],$A131)</f>
        <v/>
      </c>
      <c r="C131" s="20">
        <f>IFERROR(B131/$B$7,0)</f>
        <v/>
      </c>
    </row>
    <row r="132">
      <c r="A132" t="inlineStr">
        <is>
          <t>(blank)</t>
        </is>
      </c>
      <c r="B132">
        <f>COUNTIFS(tblLines[Launch],$B$4,tblLines[Project comms],"")</f>
        <v/>
      </c>
      <c r="C132" s="20">
        <f>IFERROR(B132/$B$7,0)</f>
        <v/>
      </c>
    </row>
    <row r="133">
      <c r="A133" s="2" t="inlineStr">
        <is>
          <t>Done</t>
        </is>
      </c>
      <c r="B133" s="2">
        <f>COUNTIFS(tblLines[Launch],$B$4,tblLines[Project comms],"Yes")+COUNTIFS(tblLines[Launch],$B$4,tblLines[Project comms],"US brand")</f>
        <v/>
      </c>
      <c r="C133" s="20">
        <f>IFERROR(B133/$B$7,0)</f>
        <v/>
      </c>
    </row>
    <row r="135">
      <c r="A135" s="2" t="inlineStr">
        <is>
          <t>Schematics</t>
        </is>
      </c>
      <c r="B135" s="2" t="inlineStr">
        <is>
          <t>Lines</t>
        </is>
      </c>
      <c r="C135" s="2" t="inlineStr">
        <is>
          <t>Share</t>
        </is>
      </c>
    </row>
    <row r="136">
      <c r="A136">
        <f>INDEX(lst_Schematics,1)</f>
        <v/>
      </c>
      <c r="B136">
        <f>COUNTIFS(tblLines[Launch],$B$4,tblLines[Schematics],$A136)</f>
        <v/>
      </c>
      <c r="C136" s="20">
        <f>IFERROR(B136/$B$7,0)</f>
        <v/>
      </c>
    </row>
    <row r="137">
      <c r="A137">
        <f>INDEX(lst_Schematics,2)</f>
        <v/>
      </c>
      <c r="B137">
        <f>COUNTIFS(tblLines[Launch],$B$4,tblLines[Schematics],$A137)</f>
        <v/>
      </c>
      <c r="C137" s="20">
        <f>IFERROR(B137/$B$7,0)</f>
        <v/>
      </c>
    </row>
    <row r="138">
      <c r="A138">
        <f>INDEX(lst_Schematics,3)</f>
        <v/>
      </c>
      <c r="B138">
        <f>COUNTIFS(tblLines[Launch],$B$4,tblLines[Schematics],$A138)</f>
        <v/>
      </c>
      <c r="C138" s="20">
        <f>IFERROR(B138/$B$7,0)</f>
        <v/>
      </c>
    </row>
    <row r="139">
      <c r="A139">
        <f>INDEX(lst_Schematics,4)</f>
        <v/>
      </c>
      <c r="B139">
        <f>COUNTIFS(tblLines[Launch],$B$4,tblLines[Schematics],$A139)</f>
        <v/>
      </c>
      <c r="C139" s="20">
        <f>IFERROR(B139/$B$7,0)</f>
        <v/>
      </c>
    </row>
    <row r="140">
      <c r="A140">
        <f>INDEX(lst_Schematics,5)</f>
        <v/>
      </c>
      <c r="B140">
        <f>COUNTIFS(tblLines[Launch],$B$4,tblLines[Schematics],$A140)</f>
        <v/>
      </c>
      <c r="C140" s="20">
        <f>IFERROR(B140/$B$7,0)</f>
        <v/>
      </c>
    </row>
    <row r="141">
      <c r="A141">
        <f>INDEX(lst_Schematics,6)</f>
        <v/>
      </c>
      <c r="B141">
        <f>COUNTIFS(tblLines[Launch],$B$4,tblLines[Schematics],$A141)</f>
        <v/>
      </c>
      <c r="C141" s="20">
        <f>IFERROR(B141/$B$7,0)</f>
        <v/>
      </c>
    </row>
    <row r="142">
      <c r="A142" t="inlineStr">
        <is>
          <t>(blank)</t>
        </is>
      </c>
      <c r="B142">
        <f>COUNTIFS(tblLines[Launch],$B$4,tblLines[Schematics],"")</f>
        <v/>
      </c>
      <c r="C142" s="20">
        <f>IFERROR(B142/$B$7,0)</f>
        <v/>
      </c>
    </row>
    <row r="143">
      <c r="A143" s="2" t="inlineStr">
        <is>
          <t>Done</t>
        </is>
      </c>
      <c r="B143" s="2">
        <f>COUNTIFS(tblLines[Launch],$B$4,tblLines[Schematics],"Approved")+COUNTIFS(tblLines[Launch],$B$4,tblLines[Schematics],"Same as")+COUNTIFS(tblLines[Launch],$B$4,tblLines[Schematics],"Not required")</f>
        <v/>
      </c>
      <c r="C143" s="20">
        <f>IFERROR(B143/$B$7,0)</f>
        <v/>
      </c>
    </row>
    <row r="145">
      <c r="A145" s="2" t="inlineStr">
        <is>
          <t>Vendor set-up route</t>
        </is>
      </c>
      <c r="B145" s="2" t="inlineStr">
        <is>
          <t>Lines</t>
        </is>
      </c>
      <c r="C145" s="2" t="inlineStr">
        <is>
          <t>Share</t>
        </is>
      </c>
    </row>
    <row r="146">
      <c r="A146">
        <f>INDEX(lst_VendorRoute,1)</f>
        <v/>
      </c>
      <c r="B146">
        <f>COUNTIFS(tblLines[Launch],$B$4,tblLines[Vendor set-up route],$A146)</f>
        <v/>
      </c>
      <c r="C146" s="20">
        <f>IFERROR(B146/$B$7,0)</f>
        <v/>
      </c>
    </row>
    <row r="147">
      <c r="A147">
        <f>INDEX(lst_VendorRoute,2)</f>
        <v/>
      </c>
      <c r="B147">
        <f>COUNTIFS(tblLines[Launch],$B$4,tblLines[Vendor set-up route],$A147)</f>
        <v/>
      </c>
      <c r="C147" s="20">
        <f>IFERROR(B147/$B$7,0)</f>
        <v/>
      </c>
    </row>
    <row r="148">
      <c r="A148">
        <f>INDEX(lst_VendorRoute,3)</f>
        <v/>
      </c>
      <c r="B148">
        <f>COUNTIFS(tblLines[Launch],$B$4,tblLines[Vendor set-up route],$A148)</f>
        <v/>
      </c>
      <c r="C148" s="20">
        <f>IFERROR(B148/$B$7,0)</f>
        <v/>
      </c>
    </row>
    <row r="149">
      <c r="A149">
        <f>INDEX(lst_VendorRoute,4)</f>
        <v/>
      </c>
      <c r="B149">
        <f>COUNTIFS(tblLines[Launch],$B$4,tblLines[Vendor set-up route],$A149)</f>
        <v/>
      </c>
      <c r="C149" s="20">
        <f>IFERROR(B149/$B$7,0)</f>
        <v/>
      </c>
    </row>
    <row r="150">
      <c r="A150">
        <f>INDEX(lst_VendorRoute,5)</f>
        <v/>
      </c>
      <c r="B150">
        <f>COUNTIFS(tblLines[Launch],$B$4,tblLines[Vendor set-up route],$A150)</f>
        <v/>
      </c>
      <c r="C150" s="20">
        <f>IFERROR(B150/$B$7,0)</f>
        <v/>
      </c>
    </row>
    <row r="151">
      <c r="A151">
        <f>INDEX(lst_VendorRoute,6)</f>
        <v/>
      </c>
      <c r="B151">
        <f>COUNTIFS(tblLines[Launch],$B$4,tblLines[Vendor set-up route],$A151)</f>
        <v/>
      </c>
      <c r="C151" s="20">
        <f>IFERROR(B151/$B$7,0)</f>
        <v/>
      </c>
    </row>
    <row r="152">
      <c r="A152" t="inlineStr">
        <is>
          <t>(blank)</t>
        </is>
      </c>
      <c r="B152">
        <f>COUNTIFS(tblLines[Launch],$B$4,tblLines[Vendor set-up route],"")</f>
        <v/>
      </c>
      <c r="C152" s="20">
        <f>IFERROR(B152/$B$7,0)</f>
        <v/>
      </c>
    </row>
    <row r="154">
      <c r="A154" s="2" t="inlineStr">
        <is>
          <t>Vendor set-up state</t>
        </is>
      </c>
      <c r="B154" s="2" t="inlineStr">
        <is>
          <t>Lines</t>
        </is>
      </c>
      <c r="C154" s="2" t="inlineStr">
        <is>
          <t>Share</t>
        </is>
      </c>
    </row>
    <row r="155">
      <c r="A155">
        <f>INDEX(lst_VendorState,1)</f>
        <v/>
      </c>
      <c r="B155">
        <f>COUNTIFS(tblLines[Launch],$B$4,tblLines[Vendor set-up state],$A155)</f>
        <v/>
      </c>
      <c r="C155" s="20">
        <f>IFERROR(B155/$B$7,0)</f>
        <v/>
      </c>
    </row>
    <row r="156">
      <c r="A156">
        <f>INDEX(lst_VendorState,2)</f>
        <v/>
      </c>
      <c r="B156">
        <f>COUNTIFS(tblLines[Launch],$B$4,tblLines[Vendor set-up state],$A156)</f>
        <v/>
      </c>
      <c r="C156" s="20">
        <f>IFERROR(B156/$B$7,0)</f>
        <v/>
      </c>
    </row>
    <row r="157">
      <c r="A157">
        <f>INDEX(lst_VendorState,3)</f>
        <v/>
      </c>
      <c r="B157">
        <f>COUNTIFS(tblLines[Launch],$B$4,tblLines[Vendor set-up state],$A157)</f>
        <v/>
      </c>
      <c r="C157" s="20">
        <f>IFERROR(B157/$B$7,0)</f>
        <v/>
      </c>
    </row>
    <row r="158">
      <c r="A158">
        <f>INDEX(lst_VendorState,4)</f>
        <v/>
      </c>
      <c r="B158">
        <f>COUNTIFS(tblLines[Launch],$B$4,tblLines[Vendor set-up state],$A158)</f>
        <v/>
      </c>
      <c r="C158" s="20">
        <f>IFERROR(B158/$B$7,0)</f>
        <v/>
      </c>
    </row>
    <row r="159">
      <c r="A159">
        <f>INDEX(lst_VendorState,5)</f>
        <v/>
      </c>
      <c r="B159">
        <f>COUNTIFS(tblLines[Launch],$B$4,tblLines[Vendor set-up state],$A159)</f>
        <v/>
      </c>
      <c r="C159" s="20">
        <f>IFERROR(B159/$B$7,0)</f>
        <v/>
      </c>
    </row>
    <row r="160">
      <c r="A160">
        <f>INDEX(lst_VendorState,6)</f>
        <v/>
      </c>
      <c r="B160">
        <f>COUNTIFS(tblLines[Launch],$B$4,tblLines[Vendor set-up state],$A160)</f>
        <v/>
      </c>
      <c r="C160" s="20">
        <f>IFERROR(B160/$B$7,0)</f>
        <v/>
      </c>
    </row>
    <row r="161">
      <c r="A161">
        <f>INDEX(lst_VendorState,7)</f>
        <v/>
      </c>
      <c r="B161">
        <f>COUNTIFS(tblLines[Launch],$B$4,tblLines[Vendor set-up state],$A161)</f>
        <v/>
      </c>
      <c r="C161" s="20">
        <f>IFERROR(B161/$B$7,0)</f>
        <v/>
      </c>
    </row>
    <row r="162">
      <c r="A162">
        <f>INDEX(lst_VendorState,8)</f>
        <v/>
      </c>
      <c r="B162">
        <f>COUNTIFS(tblLines[Launch],$B$4,tblLines[Vendor set-up state],$A162)</f>
        <v/>
      </c>
      <c r="C162" s="20">
        <f>IFERROR(B162/$B$7,0)</f>
        <v/>
      </c>
    </row>
    <row r="163">
      <c r="A163" t="inlineStr">
        <is>
          <t>(blank)</t>
        </is>
      </c>
      <c r="B163">
        <f>COUNTIFS(tblLines[Launch],$B$4,tblLines[Vendor set-up state],"")</f>
        <v/>
      </c>
      <c r="C163" s="20">
        <f>IFERROR(B163/$B$7,0)</f>
        <v/>
      </c>
    </row>
    <row r="164">
      <c r="A164" s="2" t="inlineStr">
        <is>
          <t>Done</t>
        </is>
      </c>
      <c r="B164" s="2">
        <f>COUNTIFS(tblLines[Launch],$B$4,tblLines[Vendor set-up state],"Done")+COUNTIFS(tblLines[Launch],$B$4,tblLines[Vendor set-up state],"US brand")</f>
        <v/>
      </c>
      <c r="C164" s="20">
        <f>IFERROR(B164/$B$7,0)</f>
        <v/>
      </c>
    </row>
    <row r="166">
      <c r="A166" s="2" t="inlineStr">
        <is>
          <t>ICF</t>
        </is>
      </c>
      <c r="B166" s="2" t="inlineStr">
        <is>
          <t>Lines</t>
        </is>
      </c>
      <c r="C166" s="2" t="inlineStr">
        <is>
          <t>Share</t>
        </is>
      </c>
    </row>
    <row r="167">
      <c r="A167">
        <f>INDEX(lst_ICF,1)</f>
        <v/>
      </c>
      <c r="B167">
        <f>COUNTIFS(tblLines[Launch],$B$4,tblLines[ICF],$A167)</f>
        <v/>
      </c>
      <c r="C167" s="20">
        <f>IFERROR(B167/$B$7,0)</f>
        <v/>
      </c>
    </row>
    <row r="168">
      <c r="A168">
        <f>INDEX(lst_ICF,2)</f>
        <v/>
      </c>
      <c r="B168">
        <f>COUNTIFS(tblLines[Launch],$B$4,tblLines[ICF],$A168)</f>
        <v/>
      </c>
      <c r="C168" s="20">
        <f>IFERROR(B168/$B$7,0)</f>
        <v/>
      </c>
    </row>
    <row r="169">
      <c r="A169">
        <f>INDEX(lst_ICF,3)</f>
        <v/>
      </c>
      <c r="B169">
        <f>COUNTIFS(tblLines[Launch],$B$4,tblLines[ICF],$A169)</f>
        <v/>
      </c>
      <c r="C169" s="20">
        <f>IFERROR(B169/$B$7,0)</f>
        <v/>
      </c>
    </row>
    <row r="170">
      <c r="A170">
        <f>INDEX(lst_ICF,4)</f>
        <v/>
      </c>
      <c r="B170">
        <f>COUNTIFS(tblLines[Launch],$B$4,tblLines[ICF],$A170)</f>
        <v/>
      </c>
      <c r="C170" s="20">
        <f>IFERROR(B170/$B$7,0)</f>
        <v/>
      </c>
    </row>
    <row r="171">
      <c r="A171">
        <f>INDEX(lst_ICF,5)</f>
        <v/>
      </c>
      <c r="B171">
        <f>COUNTIFS(tblLines[Launch],$B$4,tblLines[ICF],$A171)</f>
        <v/>
      </c>
      <c r="C171" s="20">
        <f>IFERROR(B171/$B$7,0)</f>
        <v/>
      </c>
    </row>
    <row r="172">
      <c r="A172">
        <f>INDEX(lst_ICF,6)</f>
        <v/>
      </c>
      <c r="B172">
        <f>COUNTIFS(tblLines[Launch],$B$4,tblLines[ICF],$A172)</f>
        <v/>
      </c>
      <c r="C172" s="20">
        <f>IFERROR(B172/$B$7,0)</f>
        <v/>
      </c>
    </row>
    <row r="173">
      <c r="A173">
        <f>INDEX(lst_ICF,7)</f>
        <v/>
      </c>
      <c r="B173">
        <f>COUNTIFS(tblLines[Launch],$B$4,tblLines[ICF],$A173)</f>
        <v/>
      </c>
      <c r="C173" s="20">
        <f>IFERROR(B173/$B$7,0)</f>
        <v/>
      </c>
    </row>
    <row r="174">
      <c r="A174">
        <f>INDEX(lst_ICF,8)</f>
        <v/>
      </c>
      <c r="B174">
        <f>COUNTIFS(tblLines[Launch],$B$4,tblLines[ICF],$A174)</f>
        <v/>
      </c>
      <c r="C174" s="20">
        <f>IFERROR(B174/$B$7,0)</f>
        <v/>
      </c>
    </row>
    <row r="175">
      <c r="A175">
        <f>INDEX(lst_ICF,9)</f>
        <v/>
      </c>
      <c r="B175">
        <f>COUNTIFS(tblLines[Launch],$B$4,tblLines[ICF],$A175)</f>
        <v/>
      </c>
      <c r="C175" s="20">
        <f>IFERROR(B175/$B$7,0)</f>
        <v/>
      </c>
    </row>
    <row r="176">
      <c r="A176" t="inlineStr">
        <is>
          <t>(blank)</t>
        </is>
      </c>
      <c r="B176">
        <f>COUNTIFS(tblLines[Launch],$B$4,tblLines[ICF],"")</f>
        <v/>
      </c>
      <c r="C176" s="20">
        <f>IFERROR(B176/$B$7,0)</f>
        <v/>
      </c>
    </row>
    <row r="177">
      <c r="A177" s="2" t="inlineStr">
        <is>
          <t>Done</t>
        </is>
      </c>
      <c r="B177" s="2">
        <f>COUNTIFS(tblLines[Launch],$B$4,tblLines[ICF],"Received")+COUNTIFS(tblLines[Launch],$B$4,tblLines[ICF],"Not required")+COUNTIFS(tblLines[Launch],$B$4,tblLines[ICF],"US brand")</f>
        <v/>
      </c>
      <c r="C177" s="20">
        <f>IFERROR(B177/$B$7,0)</f>
        <v/>
      </c>
    </row>
    <row r="179">
      <c r="A179" s="2" t="inlineStr">
        <is>
          <t>Supplier opening form</t>
        </is>
      </c>
      <c r="B179" s="2" t="inlineStr">
        <is>
          <t>Lines</t>
        </is>
      </c>
      <c r="C179" s="2" t="inlineStr">
        <is>
          <t>Share</t>
        </is>
      </c>
    </row>
    <row r="180">
      <c r="A180">
        <f>INDEX(lst_SupplierForm,1)</f>
        <v/>
      </c>
      <c r="B180">
        <f>COUNTIFS(tblLines[Launch],$B$4,tblLines[Supplier opening form],$A180)</f>
        <v/>
      </c>
      <c r="C180" s="20">
        <f>IFERROR(B180/$B$7,0)</f>
        <v/>
      </c>
    </row>
    <row r="181">
      <c r="A181">
        <f>INDEX(lst_SupplierForm,2)</f>
        <v/>
      </c>
      <c r="B181">
        <f>COUNTIFS(tblLines[Launch],$B$4,tblLines[Supplier opening form],$A181)</f>
        <v/>
      </c>
      <c r="C181" s="20">
        <f>IFERROR(B181/$B$7,0)</f>
        <v/>
      </c>
    </row>
    <row r="182">
      <c r="A182">
        <f>INDEX(lst_SupplierForm,3)</f>
        <v/>
      </c>
      <c r="B182">
        <f>COUNTIFS(tblLines[Launch],$B$4,tblLines[Supplier opening form],$A182)</f>
        <v/>
      </c>
      <c r="C182" s="20">
        <f>IFERROR(B182/$B$7,0)</f>
        <v/>
      </c>
    </row>
    <row r="183">
      <c r="A183">
        <f>INDEX(lst_SupplierForm,4)</f>
        <v/>
      </c>
      <c r="B183">
        <f>COUNTIFS(tblLines[Launch],$B$4,tblLines[Supplier opening form],$A183)</f>
        <v/>
      </c>
      <c r="C183" s="20">
        <f>IFERROR(B183/$B$7,0)</f>
        <v/>
      </c>
    </row>
    <row r="184">
      <c r="A184">
        <f>INDEX(lst_SupplierForm,5)</f>
        <v/>
      </c>
      <c r="B184">
        <f>COUNTIFS(tblLines[Launch],$B$4,tblLines[Supplier opening form],$A184)</f>
        <v/>
      </c>
      <c r="C184" s="20">
        <f>IFERROR(B184/$B$7,0)</f>
        <v/>
      </c>
    </row>
    <row r="185">
      <c r="A185">
        <f>INDEX(lst_SupplierForm,6)</f>
        <v/>
      </c>
      <c r="B185">
        <f>COUNTIFS(tblLines[Launch],$B$4,tblLines[Supplier opening form],$A185)</f>
        <v/>
      </c>
      <c r="C185" s="20">
        <f>IFERROR(B185/$B$7,0)</f>
        <v/>
      </c>
    </row>
    <row r="186">
      <c r="A186">
        <f>INDEX(lst_SupplierForm,7)</f>
        <v/>
      </c>
      <c r="B186">
        <f>COUNTIFS(tblLines[Launch],$B$4,tblLines[Supplier opening form],$A186)</f>
        <v/>
      </c>
      <c r="C186" s="20">
        <f>IFERROR(B186/$B$7,0)</f>
        <v/>
      </c>
    </row>
    <row r="187">
      <c r="A187">
        <f>INDEX(lst_SupplierForm,8)</f>
        <v/>
      </c>
      <c r="B187">
        <f>COUNTIFS(tblLines[Launch],$B$4,tblLines[Supplier opening form],$A187)</f>
        <v/>
      </c>
      <c r="C187" s="20">
        <f>IFERROR(B187/$B$7,0)</f>
        <v/>
      </c>
    </row>
    <row r="188">
      <c r="A188" t="inlineStr">
        <is>
          <t>(blank)</t>
        </is>
      </c>
      <c r="B188">
        <f>COUNTIFS(tblLines[Launch],$B$4,tblLines[Supplier opening form],"")</f>
        <v/>
      </c>
      <c r="C188" s="20">
        <f>IFERROR(B188/$B$7,0)</f>
        <v/>
      </c>
    </row>
    <row r="190">
      <c r="A190" s="2" t="inlineStr">
        <is>
          <t>Order shared</t>
        </is>
      </c>
      <c r="B190" s="2" t="inlineStr">
        <is>
          <t>Lines</t>
        </is>
      </c>
      <c r="C190" s="2" t="inlineStr">
        <is>
          <t>Share</t>
        </is>
      </c>
    </row>
    <row r="191">
      <c r="A191">
        <f>INDEX(lst_OrderShared,1)</f>
        <v/>
      </c>
      <c r="B191">
        <f>COUNTIFS(tblLines[Launch],$B$4,tblLines[Order shared],$A191)</f>
        <v/>
      </c>
      <c r="C191" s="20">
        <f>IFERROR(B191/$B$7,0)</f>
        <v/>
      </c>
    </row>
    <row r="192">
      <c r="A192">
        <f>INDEX(lst_OrderShared,2)</f>
        <v/>
      </c>
      <c r="B192">
        <f>COUNTIFS(tblLines[Launch],$B$4,tblLines[Order shared],$A192)</f>
        <v/>
      </c>
      <c r="C192" s="20">
        <f>IFERROR(B192/$B$7,0)</f>
        <v/>
      </c>
    </row>
    <row r="193">
      <c r="A193">
        <f>INDEX(lst_OrderShared,3)</f>
        <v/>
      </c>
      <c r="B193">
        <f>COUNTIFS(tblLines[Launch],$B$4,tblLines[Order shared],$A193)</f>
        <v/>
      </c>
      <c r="C193" s="20">
        <f>IFERROR(B193/$B$7,0)</f>
        <v/>
      </c>
    </row>
    <row r="194">
      <c r="A194">
        <f>INDEX(lst_OrderShared,4)</f>
        <v/>
      </c>
      <c r="B194">
        <f>COUNTIFS(tblLines[Launch],$B$4,tblLines[Order shared],$A194)</f>
        <v/>
      </c>
      <c r="C194" s="20">
        <f>IFERROR(B194/$B$7,0)</f>
        <v/>
      </c>
    </row>
    <row r="195">
      <c r="A195">
        <f>INDEX(lst_OrderShared,5)</f>
        <v/>
      </c>
      <c r="B195">
        <f>COUNTIFS(tblLines[Launch],$B$4,tblLines[Order shared],$A195)</f>
        <v/>
      </c>
      <c r="C195" s="20">
        <f>IFERROR(B195/$B$7,0)</f>
        <v/>
      </c>
    </row>
    <row r="196">
      <c r="A196" t="inlineStr">
        <is>
          <t>(blank)</t>
        </is>
      </c>
      <c r="B196">
        <f>COUNTIFS(tblLines[Launch],$B$4,tblLines[Order shared],"")</f>
        <v/>
      </c>
      <c r="C196" s="20">
        <f>IFERROR(B196/$B$7,0)</f>
        <v/>
      </c>
    </row>
    <row r="198">
      <c r="A198" s="2" t="inlineStr">
        <is>
          <t>Fixture capacity vs allocation</t>
        </is>
      </c>
      <c r="B198" s="2">
        <f>IF(B$5="","",B$5&amp;" capacity")</f>
        <v/>
      </c>
      <c r="C198" s="2">
        <f>IF(B$5="","",B$5&amp;" allocated")</f>
        <v/>
      </c>
      <c r="D198" s="2">
        <f>IF(C$5="","",C$5&amp;" capacity")</f>
        <v/>
      </c>
      <c r="E198" s="2">
        <f>IF(C$5="","",C$5&amp;" allocated")</f>
        <v/>
      </c>
      <c r="F198" s="2">
        <f>IF(D$5="","",D$5&amp;" capacity")</f>
        <v/>
      </c>
      <c r="G198" s="2">
        <f>IF(D$5="","",D$5&amp;" allocated")</f>
        <v/>
      </c>
      <c r="H198" s="2">
        <f>IF(E$5="","",E$5&amp;" capacity")</f>
        <v/>
      </c>
      <c r="I198" s="2">
        <f>IF(E$5="","",E$5&amp;" allocated")</f>
        <v/>
      </c>
    </row>
    <row r="199">
      <c r="A199">
        <f>INDEX(lst_FixtureType,1)</f>
        <v/>
      </c>
      <c r="B199">
        <f>IF($B$5="","",SUMIFS(tblCapacity[Count],tblCapacity[Store],$B$5,tblCapacity[Fixture type],$A199))</f>
        <v/>
      </c>
      <c r="C199">
        <f>IF($B$5="","",COUNTIFS(tblLines[Store 1],$B$5,tblLines[S1 Fixture type],$A199)+COUNTIFS(tblLines[Store 2],$B$5,tblLines[S2 Fixture type],$A199))</f>
        <v/>
      </c>
      <c r="D199">
        <f>IF($C$5="","",SUMIFS(tblCapacity[Count],tblCapacity[Store],$C$5,tblCapacity[Fixture type],$A199))</f>
        <v/>
      </c>
      <c r="E199">
        <f>IF($C$5="","",COUNTIFS(tblLines[Store 1],$C$5,tblLines[S1 Fixture type],$A199)+COUNTIFS(tblLines[Store 2],$C$5,tblLines[S2 Fixture type],$A199))</f>
        <v/>
      </c>
      <c r="F199">
        <f>IF($D$5="","",SUMIFS(tblCapacity[Count],tblCapacity[Store],$D$5,tblCapacity[Fixture type],$A199))</f>
        <v/>
      </c>
      <c r="G199">
        <f>IF($D$5="","",COUNTIFS(tblLines[Store 1],$D$5,tblLines[S1 Fixture type],$A199)+COUNTIFS(tblLines[Store 2],$D$5,tblLines[S2 Fixture type],$A199))</f>
        <v/>
      </c>
      <c r="H199">
        <f>IF($E$5="","",SUMIFS(tblCapacity[Count],tblCapacity[Store],$E$5,tblCapacity[Fixture type],$A199))</f>
        <v/>
      </c>
      <c r="I199">
        <f>IF($E$5="","",COUNTIFS(tblLines[Store 1],$E$5,tblLines[S1 Fixture type],$A199)+COUNTIFS(tblLines[Store 2],$E$5,tblLines[S2 Fixture type],$A199))</f>
        <v/>
      </c>
    </row>
    <row r="200">
      <c r="A200">
        <f>INDEX(lst_FixtureType,2)</f>
        <v/>
      </c>
      <c r="B200">
        <f>IF($B$5="","",SUMIFS(tblCapacity[Count],tblCapacity[Store],$B$5,tblCapacity[Fixture type],$A200))</f>
        <v/>
      </c>
      <c r="C200">
        <f>IF($B$5="","",COUNTIFS(tblLines[Store 1],$B$5,tblLines[S1 Fixture type],$A200)+COUNTIFS(tblLines[Store 2],$B$5,tblLines[S2 Fixture type],$A200))</f>
        <v/>
      </c>
      <c r="D200">
        <f>IF($C$5="","",SUMIFS(tblCapacity[Count],tblCapacity[Store],$C$5,tblCapacity[Fixture type],$A200))</f>
        <v/>
      </c>
      <c r="E200">
        <f>IF($C$5="","",COUNTIFS(tblLines[Store 1],$C$5,tblLines[S1 Fixture type],$A200)+COUNTIFS(tblLines[Store 2],$C$5,tblLines[S2 Fixture type],$A200))</f>
        <v/>
      </c>
      <c r="F200">
        <f>IF($D$5="","",SUMIFS(tblCapacity[Count],tblCapacity[Store],$D$5,tblCapacity[Fixture type],$A200))</f>
        <v/>
      </c>
      <c r="G200">
        <f>IF($D$5="","",COUNTIFS(tblLines[Store 1],$D$5,tblLines[S1 Fixture type],$A200)+COUNTIFS(tblLines[Store 2],$D$5,tblLines[S2 Fixture type],$A200))</f>
        <v/>
      </c>
      <c r="H200">
        <f>IF($E$5="","",SUMIFS(tblCapacity[Count],tblCapacity[Store],$E$5,tblCapacity[Fixture type],$A200))</f>
        <v/>
      </c>
      <c r="I200">
        <f>IF($E$5="","",COUNTIFS(tblLines[Store 1],$E$5,tblLines[S1 Fixture type],$A200)+COUNTIFS(tblLines[Store 2],$E$5,tblLines[S2 Fixture type],$A200))</f>
        <v/>
      </c>
    </row>
    <row r="201">
      <c r="A201">
        <f>INDEX(lst_FixtureType,3)</f>
        <v/>
      </c>
      <c r="B201">
        <f>IF($B$5="","",SUMIFS(tblCapacity[Count],tblCapacity[Store],$B$5,tblCapacity[Fixture type],$A201))</f>
        <v/>
      </c>
      <c r="C201">
        <f>IF($B$5="","",COUNTIFS(tblLines[Store 1],$B$5,tblLines[S1 Fixture type],$A201)+COUNTIFS(tblLines[Store 2],$B$5,tblLines[S2 Fixture type],$A201))</f>
        <v/>
      </c>
      <c r="D201">
        <f>IF($C$5="","",SUMIFS(tblCapacity[Count],tblCapacity[Store],$C$5,tblCapacity[Fixture type],$A201))</f>
        <v/>
      </c>
      <c r="E201">
        <f>IF($C$5="","",COUNTIFS(tblLines[Store 1],$C$5,tblLines[S1 Fixture type],$A201)+COUNTIFS(tblLines[Store 2],$C$5,tblLines[S2 Fixture type],$A201))</f>
        <v/>
      </c>
      <c r="F201">
        <f>IF($D$5="","",SUMIFS(tblCapacity[Count],tblCapacity[Store],$D$5,tblCapacity[Fixture type],$A201))</f>
        <v/>
      </c>
      <c r="G201">
        <f>IF($D$5="","",COUNTIFS(tblLines[Store 1],$D$5,tblLines[S1 Fixture type],$A201)+COUNTIFS(tblLines[Store 2],$D$5,tblLines[S2 Fixture type],$A201))</f>
        <v/>
      </c>
      <c r="H201">
        <f>IF($E$5="","",SUMIFS(tblCapacity[Count],tblCapacity[Store],$E$5,tblCapacity[Fixture type],$A201))</f>
        <v/>
      </c>
      <c r="I201">
        <f>IF($E$5="","",COUNTIFS(tblLines[Store 1],$E$5,tblLines[S1 Fixture type],$A201)+COUNTIFS(tblLines[Store 2],$E$5,tblLines[S2 Fixture type],$A201))</f>
        <v/>
      </c>
    </row>
    <row r="202">
      <c r="A202">
        <f>INDEX(lst_FixtureType,4)</f>
        <v/>
      </c>
      <c r="B202">
        <f>IF($B$5="","",SUMIFS(tblCapacity[Count],tblCapacity[Store],$B$5,tblCapacity[Fixture type],$A202))</f>
        <v/>
      </c>
      <c r="C202">
        <f>IF($B$5="","",COUNTIFS(tblLines[Store 1],$B$5,tblLines[S1 Fixture type],$A202)+COUNTIFS(tblLines[Store 2],$B$5,tblLines[S2 Fixture type],$A202))</f>
        <v/>
      </c>
      <c r="D202">
        <f>IF($C$5="","",SUMIFS(tblCapacity[Count],tblCapacity[Store],$C$5,tblCapacity[Fixture type],$A202))</f>
        <v/>
      </c>
      <c r="E202">
        <f>IF($C$5="","",COUNTIFS(tblLines[Store 1],$C$5,tblLines[S1 Fixture type],$A202)+COUNTIFS(tblLines[Store 2],$C$5,tblLines[S2 Fixture type],$A202))</f>
        <v/>
      </c>
      <c r="F202">
        <f>IF($D$5="","",SUMIFS(tblCapacity[Count],tblCapacity[Store],$D$5,tblCapacity[Fixture type],$A202))</f>
        <v/>
      </c>
      <c r="G202">
        <f>IF($D$5="","",COUNTIFS(tblLines[Store 1],$D$5,tblLines[S1 Fixture type],$A202)+COUNTIFS(tblLines[Store 2],$D$5,tblLines[S2 Fixture type],$A202))</f>
        <v/>
      </c>
      <c r="H202">
        <f>IF($E$5="","",SUMIFS(tblCapacity[Count],tblCapacity[Store],$E$5,tblCapacity[Fixture type],$A202))</f>
        <v/>
      </c>
      <c r="I202">
        <f>IF($E$5="","",COUNTIFS(tblLines[Store 1],$E$5,tblLines[S1 Fixture type],$A202)+COUNTIFS(tblLines[Store 2],$E$5,tblLines[S2 Fixture type],$A202))</f>
        <v/>
      </c>
    </row>
    <row r="203">
      <c r="A203">
        <f>INDEX(lst_FixtureType,5)</f>
        <v/>
      </c>
      <c r="B203">
        <f>IF($B$5="","",SUMIFS(tblCapacity[Count],tblCapacity[Store],$B$5,tblCapacity[Fixture type],$A203))</f>
        <v/>
      </c>
      <c r="C203">
        <f>IF($B$5="","",COUNTIFS(tblLines[Store 1],$B$5,tblLines[S1 Fixture type],$A203)+COUNTIFS(tblLines[Store 2],$B$5,tblLines[S2 Fixture type],$A203))</f>
        <v/>
      </c>
      <c r="D203">
        <f>IF($C$5="","",SUMIFS(tblCapacity[Count],tblCapacity[Store],$C$5,tblCapacity[Fixture type],$A203))</f>
        <v/>
      </c>
      <c r="E203">
        <f>IF($C$5="","",COUNTIFS(tblLines[Store 1],$C$5,tblLines[S1 Fixture type],$A203)+COUNTIFS(tblLines[Store 2],$C$5,tblLines[S2 Fixture type],$A203))</f>
        <v/>
      </c>
      <c r="F203">
        <f>IF($D$5="","",SUMIFS(tblCapacity[Count],tblCapacity[Store],$D$5,tblCapacity[Fixture type],$A203))</f>
        <v/>
      </c>
      <c r="G203">
        <f>IF($D$5="","",COUNTIFS(tblLines[Store 1],$D$5,tblLines[S1 Fixture type],$A203)+COUNTIFS(tblLines[Store 2],$D$5,tblLines[S2 Fixture type],$A203))</f>
        <v/>
      </c>
      <c r="H203">
        <f>IF($E$5="","",SUMIFS(tblCapacity[Count],tblCapacity[Store],$E$5,tblCapacity[Fixture type],$A203))</f>
        <v/>
      </c>
      <c r="I203">
        <f>IF($E$5="","",COUNTIFS(tblLines[Store 1],$E$5,tblLines[S1 Fixture type],$A203)+COUNTIFS(tblLines[Store 2],$E$5,tblLines[S2 Fixture type],$A203))</f>
        <v/>
      </c>
    </row>
    <row r="204">
      <c r="A204">
        <f>INDEX(lst_FixtureType,6)</f>
        <v/>
      </c>
      <c r="B204">
        <f>IF($B$5="","",SUMIFS(tblCapacity[Count],tblCapacity[Store],$B$5,tblCapacity[Fixture type],$A204))</f>
        <v/>
      </c>
      <c r="C204">
        <f>IF($B$5="","",COUNTIFS(tblLines[Store 1],$B$5,tblLines[S1 Fixture type],$A204)+COUNTIFS(tblLines[Store 2],$B$5,tblLines[S2 Fixture type],$A204))</f>
        <v/>
      </c>
      <c r="D204">
        <f>IF($C$5="","",SUMIFS(tblCapacity[Count],tblCapacity[Store],$C$5,tblCapacity[Fixture type],$A204))</f>
        <v/>
      </c>
      <c r="E204">
        <f>IF($C$5="","",COUNTIFS(tblLines[Store 1],$C$5,tblLines[S1 Fixture type],$A204)+COUNTIFS(tblLines[Store 2],$C$5,tblLines[S2 Fixture type],$A204))</f>
        <v/>
      </c>
      <c r="F204">
        <f>IF($D$5="","",SUMIFS(tblCapacity[Count],tblCapacity[Store],$D$5,tblCapacity[Fixture type],$A204))</f>
        <v/>
      </c>
      <c r="G204">
        <f>IF($D$5="","",COUNTIFS(tblLines[Store 1],$D$5,tblLines[S1 Fixture type],$A204)+COUNTIFS(tblLines[Store 2],$D$5,tblLines[S2 Fixture type],$A204))</f>
        <v/>
      </c>
      <c r="H204">
        <f>IF($E$5="","",SUMIFS(tblCapacity[Count],tblCapacity[Store],$E$5,tblCapacity[Fixture type],$A204))</f>
        <v/>
      </c>
      <c r="I204">
        <f>IF($E$5="","",COUNTIFS(tblLines[Store 1],$E$5,tblLines[S1 Fixture type],$A204)+COUNTIFS(tblLines[Store 2],$E$5,tblLines[S2 Fixture type],$A204))</f>
        <v/>
      </c>
    </row>
    <row r="205">
      <c r="A205">
        <f>INDEX(lst_FixtureType,7)</f>
        <v/>
      </c>
      <c r="B205">
        <f>IF($B$5="","",SUMIFS(tblCapacity[Count],tblCapacity[Store],$B$5,tblCapacity[Fixture type],$A205))</f>
        <v/>
      </c>
      <c r="C205">
        <f>IF($B$5="","",COUNTIFS(tblLines[Store 1],$B$5,tblLines[S1 Fixture type],$A205)+COUNTIFS(tblLines[Store 2],$B$5,tblLines[S2 Fixture type],$A205))</f>
        <v/>
      </c>
      <c r="D205">
        <f>IF($C$5="","",SUMIFS(tblCapacity[Count],tblCapacity[Store],$C$5,tblCapacity[Fixture type],$A205))</f>
        <v/>
      </c>
      <c r="E205">
        <f>IF($C$5="","",COUNTIFS(tblLines[Store 1],$C$5,tblLines[S1 Fixture type],$A205)+COUNTIFS(tblLines[Store 2],$C$5,tblLines[S2 Fixture type],$A205))</f>
        <v/>
      </c>
      <c r="F205">
        <f>IF($D$5="","",SUMIFS(tblCapacity[Count],tblCapacity[Store],$D$5,tblCapacity[Fixture type],$A205))</f>
        <v/>
      </c>
      <c r="G205">
        <f>IF($D$5="","",COUNTIFS(tblLines[Store 1],$D$5,tblLines[S1 Fixture type],$A205)+COUNTIFS(tblLines[Store 2],$D$5,tblLines[S2 Fixture type],$A205))</f>
        <v/>
      </c>
      <c r="H205">
        <f>IF($E$5="","",SUMIFS(tblCapacity[Count],tblCapacity[Store],$E$5,tblCapacity[Fixture type],$A205))</f>
        <v/>
      </c>
      <c r="I205">
        <f>IF($E$5="","",COUNTIFS(tblLines[Store 1],$E$5,tblLines[S1 Fixture type],$A205)+COUNTIFS(tblLines[Store 2],$E$5,tblLines[S2 Fixture type],$A205))</f>
        <v/>
      </c>
    </row>
    <row r="206">
      <c r="A206">
        <f>INDEX(lst_FixtureType,8)</f>
        <v/>
      </c>
      <c r="B206">
        <f>IF($B$5="","",SUMIFS(tblCapacity[Count],tblCapacity[Store],$B$5,tblCapacity[Fixture type],$A206))</f>
        <v/>
      </c>
      <c r="C206">
        <f>IF($B$5="","",COUNTIFS(tblLines[Store 1],$B$5,tblLines[S1 Fixture type],$A206)+COUNTIFS(tblLines[Store 2],$B$5,tblLines[S2 Fixture type],$A206))</f>
        <v/>
      </c>
      <c r="D206">
        <f>IF($C$5="","",SUMIFS(tblCapacity[Count],tblCapacity[Store],$C$5,tblCapacity[Fixture type],$A206))</f>
        <v/>
      </c>
      <c r="E206">
        <f>IF($C$5="","",COUNTIFS(tblLines[Store 1],$C$5,tblLines[S1 Fixture type],$A206)+COUNTIFS(tblLines[Store 2],$C$5,tblLines[S2 Fixture type],$A206))</f>
        <v/>
      </c>
      <c r="F206">
        <f>IF($D$5="","",SUMIFS(tblCapacity[Count],tblCapacity[Store],$D$5,tblCapacity[Fixture type],$A206))</f>
        <v/>
      </c>
      <c r="G206">
        <f>IF($D$5="","",COUNTIFS(tblLines[Store 1],$D$5,tblLines[S1 Fixture type],$A206)+COUNTIFS(tblLines[Store 2],$D$5,tblLines[S2 Fixture type],$A206))</f>
        <v/>
      </c>
      <c r="H206">
        <f>IF($E$5="","",SUMIFS(tblCapacity[Count],tblCapacity[Store],$E$5,tblCapacity[Fixture type],$A206))</f>
        <v/>
      </c>
      <c r="I206">
        <f>IF($E$5="","",COUNTIFS(tblLines[Store 1],$E$5,tblLines[S1 Fixture type],$A206)+COUNTIFS(tblLines[Store 2],$E$5,tblLines[S2 Fixture type],$A206))</f>
        <v/>
      </c>
    </row>
    <row r="207">
      <c r="A207">
        <f>INDEX(lst_FixtureType,9)</f>
        <v/>
      </c>
      <c r="B207">
        <f>IF($B$5="","",SUMIFS(tblCapacity[Count],tblCapacity[Store],$B$5,tblCapacity[Fixture type],$A207))</f>
        <v/>
      </c>
      <c r="C207">
        <f>IF($B$5="","",COUNTIFS(tblLines[Store 1],$B$5,tblLines[S1 Fixture type],$A207)+COUNTIFS(tblLines[Store 2],$B$5,tblLines[S2 Fixture type],$A207))</f>
        <v/>
      </c>
      <c r="D207">
        <f>IF($C$5="","",SUMIFS(tblCapacity[Count],tblCapacity[Store],$C$5,tblCapacity[Fixture type],$A207))</f>
        <v/>
      </c>
      <c r="E207">
        <f>IF($C$5="","",COUNTIFS(tblLines[Store 1],$C$5,tblLines[S1 Fixture type],$A207)+COUNTIFS(tblLines[Store 2],$C$5,tblLines[S2 Fixture type],$A207))</f>
        <v/>
      </c>
      <c r="F207">
        <f>IF($D$5="","",SUMIFS(tblCapacity[Count],tblCapacity[Store],$D$5,tblCapacity[Fixture type],$A207))</f>
        <v/>
      </c>
      <c r="G207">
        <f>IF($D$5="","",COUNTIFS(tblLines[Store 1],$D$5,tblLines[S1 Fixture type],$A207)+COUNTIFS(tblLines[Store 2],$D$5,tblLines[S2 Fixture type],$A207))</f>
        <v/>
      </c>
      <c r="H207">
        <f>IF($E$5="","",SUMIFS(tblCapacity[Count],tblCapacity[Store],$E$5,tblCapacity[Fixture type],$A207))</f>
        <v/>
      </c>
      <c r="I207">
        <f>IF($E$5="","",COUNTIFS(tblLines[Store 1],$E$5,tblLines[S1 Fixture type],$A207)+COUNTIFS(tblLines[Store 2],$E$5,tblLines[S2 Fixture type],$A207))</f>
        <v/>
      </c>
    </row>
    <row r="208">
      <c r="A208">
        <f>INDEX(lst_FixtureType,10)</f>
        <v/>
      </c>
      <c r="B208">
        <f>IF($B$5="","",SUMIFS(tblCapacity[Count],tblCapacity[Store],$B$5,tblCapacity[Fixture type],$A208))</f>
        <v/>
      </c>
      <c r="C208">
        <f>IF($B$5="","",COUNTIFS(tblLines[Store 1],$B$5,tblLines[S1 Fixture type],$A208)+COUNTIFS(tblLines[Store 2],$B$5,tblLines[S2 Fixture type],$A208))</f>
        <v/>
      </c>
      <c r="D208">
        <f>IF($C$5="","",SUMIFS(tblCapacity[Count],tblCapacity[Store],$C$5,tblCapacity[Fixture type],$A208))</f>
        <v/>
      </c>
      <c r="E208">
        <f>IF($C$5="","",COUNTIFS(tblLines[Store 1],$C$5,tblLines[S1 Fixture type],$A208)+COUNTIFS(tblLines[Store 2],$C$5,tblLines[S2 Fixture type],$A208))</f>
        <v/>
      </c>
      <c r="F208">
        <f>IF($D$5="","",SUMIFS(tblCapacity[Count],tblCapacity[Store],$D$5,tblCapacity[Fixture type],$A208))</f>
        <v/>
      </c>
      <c r="G208">
        <f>IF($D$5="","",COUNTIFS(tblLines[Store 1],$D$5,tblLines[S1 Fixture type],$A208)+COUNTIFS(tblLines[Store 2],$D$5,tblLines[S2 Fixture type],$A208))</f>
        <v/>
      </c>
      <c r="H208">
        <f>IF($E$5="","",SUMIFS(tblCapacity[Count],tblCapacity[Store],$E$5,tblCapacity[Fixture type],$A208))</f>
        <v/>
      </c>
      <c r="I208">
        <f>IF($E$5="","",COUNTIFS(tblLines[Store 1],$E$5,tblLines[S1 Fixture type],$A208)+COUNTIFS(tblLines[Store 2],$E$5,tblLines[S2 Fixture type],$A208))</f>
        <v/>
      </c>
    </row>
    <row r="209">
      <c r="A209">
        <f>INDEX(lst_FixtureType,11)</f>
        <v/>
      </c>
      <c r="B209">
        <f>IF($B$5="","",SUMIFS(tblCapacity[Count],tblCapacity[Store],$B$5,tblCapacity[Fixture type],$A209))</f>
        <v/>
      </c>
      <c r="C209">
        <f>IF($B$5="","",COUNTIFS(tblLines[Store 1],$B$5,tblLines[S1 Fixture type],$A209)+COUNTIFS(tblLines[Store 2],$B$5,tblLines[S2 Fixture type],$A209))</f>
        <v/>
      </c>
      <c r="D209">
        <f>IF($C$5="","",SUMIFS(tblCapacity[Count],tblCapacity[Store],$C$5,tblCapacity[Fixture type],$A209))</f>
        <v/>
      </c>
      <c r="E209">
        <f>IF($C$5="","",COUNTIFS(tblLines[Store 1],$C$5,tblLines[S1 Fixture type],$A209)+COUNTIFS(tblLines[Store 2],$C$5,tblLines[S2 Fixture type],$A209))</f>
        <v/>
      </c>
      <c r="F209">
        <f>IF($D$5="","",SUMIFS(tblCapacity[Count],tblCapacity[Store],$D$5,tblCapacity[Fixture type],$A209))</f>
        <v/>
      </c>
      <c r="G209">
        <f>IF($D$5="","",COUNTIFS(tblLines[Store 1],$D$5,tblLines[S1 Fixture type],$A209)+COUNTIFS(tblLines[Store 2],$D$5,tblLines[S2 Fixture type],$A209))</f>
        <v/>
      </c>
      <c r="H209">
        <f>IF($E$5="","",SUMIFS(tblCapacity[Count],tblCapacity[Store],$E$5,tblCapacity[Fixture type],$A209))</f>
        <v/>
      </c>
      <c r="I209">
        <f>IF($E$5="","",COUNTIFS(tblLines[Store 1],$E$5,tblLines[S1 Fixture type],$A209)+COUNTIFS(tblLines[Store 2],$E$5,tblLines[S2 Fixture type],$A209))</f>
        <v/>
      </c>
    </row>
    <row r="210">
      <c r="A210">
        <f>INDEX(lst_FixtureType,12)</f>
        <v/>
      </c>
      <c r="B210">
        <f>IF($B$5="","",SUMIFS(tblCapacity[Count],tblCapacity[Store],$B$5,tblCapacity[Fixture type],$A210))</f>
        <v/>
      </c>
      <c r="C210">
        <f>IF($B$5="","",COUNTIFS(tblLines[Store 1],$B$5,tblLines[S1 Fixture type],$A210)+COUNTIFS(tblLines[Store 2],$B$5,tblLines[S2 Fixture type],$A210))</f>
        <v/>
      </c>
      <c r="D210">
        <f>IF($C$5="","",SUMIFS(tblCapacity[Count],tblCapacity[Store],$C$5,tblCapacity[Fixture type],$A210))</f>
        <v/>
      </c>
      <c r="E210">
        <f>IF($C$5="","",COUNTIFS(tblLines[Store 1],$C$5,tblLines[S1 Fixture type],$A210)+COUNTIFS(tblLines[Store 2],$C$5,tblLines[S2 Fixture type],$A210))</f>
        <v/>
      </c>
      <c r="F210">
        <f>IF($D$5="","",SUMIFS(tblCapacity[Count],tblCapacity[Store],$D$5,tblCapacity[Fixture type],$A210))</f>
        <v/>
      </c>
      <c r="G210">
        <f>IF($D$5="","",COUNTIFS(tblLines[Store 1],$D$5,tblLines[S1 Fixture type],$A210)+COUNTIFS(tblLines[Store 2],$D$5,tblLines[S2 Fixture type],$A210))</f>
        <v/>
      </c>
      <c r="H210">
        <f>IF($E$5="","",SUMIFS(tblCapacity[Count],tblCapacity[Store],$E$5,tblCapacity[Fixture type],$A210))</f>
        <v/>
      </c>
      <c r="I210">
        <f>IF($E$5="","",COUNTIFS(tblLines[Store 1],$E$5,tblLines[S1 Fixture type],$A210)+COUNTIFS(tblLines[Store 2],$E$5,tblLines[S2 Fixture type],$A210))</f>
        <v/>
      </c>
    </row>
    <row r="211">
      <c r="A211">
        <f>INDEX(lst_FixtureType,13)</f>
        <v/>
      </c>
      <c r="B211">
        <f>IF($B$5="","",SUMIFS(tblCapacity[Count],tblCapacity[Store],$B$5,tblCapacity[Fixture type],$A211))</f>
        <v/>
      </c>
      <c r="C211">
        <f>IF($B$5="","",COUNTIFS(tblLines[Store 1],$B$5,tblLines[S1 Fixture type],$A211)+COUNTIFS(tblLines[Store 2],$B$5,tblLines[S2 Fixture type],$A211))</f>
        <v/>
      </c>
      <c r="D211">
        <f>IF($C$5="","",SUMIFS(tblCapacity[Count],tblCapacity[Store],$C$5,tblCapacity[Fixture type],$A211))</f>
        <v/>
      </c>
      <c r="E211">
        <f>IF($C$5="","",COUNTIFS(tblLines[Store 1],$C$5,tblLines[S1 Fixture type],$A211)+COUNTIFS(tblLines[Store 2],$C$5,tblLines[S2 Fixture type],$A211))</f>
        <v/>
      </c>
      <c r="F211">
        <f>IF($D$5="","",SUMIFS(tblCapacity[Count],tblCapacity[Store],$D$5,tblCapacity[Fixture type],$A211))</f>
        <v/>
      </c>
      <c r="G211">
        <f>IF($D$5="","",COUNTIFS(tblLines[Store 1],$D$5,tblLines[S1 Fixture type],$A211)+COUNTIFS(tblLines[Store 2],$D$5,tblLines[S2 Fixture type],$A211))</f>
        <v/>
      </c>
      <c r="H211">
        <f>IF($E$5="","",SUMIFS(tblCapacity[Count],tblCapacity[Store],$E$5,tblCapacity[Fixture type],$A211))</f>
        <v/>
      </c>
      <c r="I211">
        <f>IF($E$5="","",COUNTIFS(tblLines[Store 1],$E$5,tblLines[S1 Fixture type],$A211)+COUNTIFS(tblLines[Store 2],$E$5,tblLines[S2 Fixture type],$A211))</f>
        <v/>
      </c>
    </row>
    <row r="212">
      <c r="A212">
        <f>INDEX(lst_FixtureType,14)</f>
        <v/>
      </c>
      <c r="B212">
        <f>IF($B$5="","",SUMIFS(tblCapacity[Count],tblCapacity[Store],$B$5,tblCapacity[Fixture type],$A212))</f>
        <v/>
      </c>
      <c r="C212">
        <f>IF($B$5="","",COUNTIFS(tblLines[Store 1],$B$5,tblLines[S1 Fixture type],$A212)+COUNTIFS(tblLines[Store 2],$B$5,tblLines[S2 Fixture type],$A212))</f>
        <v/>
      </c>
      <c r="D212">
        <f>IF($C$5="","",SUMIFS(tblCapacity[Count],tblCapacity[Store],$C$5,tblCapacity[Fixture type],$A212))</f>
        <v/>
      </c>
      <c r="E212">
        <f>IF($C$5="","",COUNTIFS(tblLines[Store 1],$C$5,tblLines[S1 Fixture type],$A212)+COUNTIFS(tblLines[Store 2],$C$5,tblLines[S2 Fixture type],$A212))</f>
        <v/>
      </c>
      <c r="F212">
        <f>IF($D$5="","",SUMIFS(tblCapacity[Count],tblCapacity[Store],$D$5,tblCapacity[Fixture type],$A212))</f>
        <v/>
      </c>
      <c r="G212">
        <f>IF($D$5="","",COUNTIFS(tblLines[Store 1],$D$5,tblLines[S1 Fixture type],$A212)+COUNTIFS(tblLines[Store 2],$D$5,tblLines[S2 Fixture type],$A212))</f>
        <v/>
      </c>
      <c r="H212">
        <f>IF($E$5="","",SUMIFS(tblCapacity[Count],tblCapacity[Store],$E$5,tblCapacity[Fixture type],$A212))</f>
        <v/>
      </c>
      <c r="I212">
        <f>IF($E$5="","",COUNTIFS(tblLines[Store 1],$E$5,tblLines[S1 Fixture type],$A212)+COUNTIFS(tblLines[Store 2],$E$5,tblLines[S2 Fixture type],$A212))</f>
        <v/>
      </c>
    </row>
    <row r="213">
      <c r="A213">
        <f>INDEX(lst_FixtureType,15)</f>
        <v/>
      </c>
      <c r="B213">
        <f>IF($B$5="","",SUMIFS(tblCapacity[Count],tblCapacity[Store],$B$5,tblCapacity[Fixture type],$A213))</f>
        <v/>
      </c>
      <c r="C213">
        <f>IF($B$5="","",COUNTIFS(tblLines[Store 1],$B$5,tblLines[S1 Fixture type],$A213)+COUNTIFS(tblLines[Store 2],$B$5,tblLines[S2 Fixture type],$A213))</f>
        <v/>
      </c>
      <c r="D213">
        <f>IF($C$5="","",SUMIFS(tblCapacity[Count],tblCapacity[Store],$C$5,tblCapacity[Fixture type],$A213))</f>
        <v/>
      </c>
      <c r="E213">
        <f>IF($C$5="","",COUNTIFS(tblLines[Store 1],$C$5,tblLines[S1 Fixture type],$A213)+COUNTIFS(tblLines[Store 2],$C$5,tblLines[S2 Fixture type],$A213))</f>
        <v/>
      </c>
      <c r="F213">
        <f>IF($D$5="","",SUMIFS(tblCapacity[Count],tblCapacity[Store],$D$5,tblCapacity[Fixture type],$A213))</f>
        <v/>
      </c>
      <c r="G213">
        <f>IF($D$5="","",COUNTIFS(tblLines[Store 1],$D$5,tblLines[S1 Fixture type],$A213)+COUNTIFS(tblLines[Store 2],$D$5,tblLines[S2 Fixture type],$A213))</f>
        <v/>
      </c>
      <c r="H213">
        <f>IF($E$5="","",SUMIFS(tblCapacity[Count],tblCapacity[Store],$E$5,tblCapacity[Fixture type],$A213))</f>
        <v/>
      </c>
      <c r="I213">
        <f>IF($E$5="","",COUNTIFS(tblLines[Store 1],$E$5,tblLines[S1 Fixture type],$A213)+COUNTIFS(tblLines[Store 2],$E$5,tblLines[S2 Fixture type],$A213))</f>
        <v/>
      </c>
    </row>
    <row r="214">
      <c r="A214">
        <f>INDEX(lst_FixtureType,16)</f>
        <v/>
      </c>
      <c r="B214">
        <f>IF($B$5="","",SUMIFS(tblCapacity[Count],tblCapacity[Store],$B$5,tblCapacity[Fixture type],$A214))</f>
        <v/>
      </c>
      <c r="C214">
        <f>IF($B$5="","",COUNTIFS(tblLines[Store 1],$B$5,tblLines[S1 Fixture type],$A214)+COUNTIFS(tblLines[Store 2],$B$5,tblLines[S2 Fixture type],$A214))</f>
        <v/>
      </c>
      <c r="D214">
        <f>IF($C$5="","",SUMIFS(tblCapacity[Count],tblCapacity[Store],$C$5,tblCapacity[Fixture type],$A214))</f>
        <v/>
      </c>
      <c r="E214">
        <f>IF($C$5="","",COUNTIFS(tblLines[Store 1],$C$5,tblLines[S1 Fixture type],$A214)+COUNTIFS(tblLines[Store 2],$C$5,tblLines[S2 Fixture type],$A214))</f>
        <v/>
      </c>
      <c r="F214">
        <f>IF($D$5="","",SUMIFS(tblCapacity[Count],tblCapacity[Store],$D$5,tblCapacity[Fixture type],$A214))</f>
        <v/>
      </c>
      <c r="G214">
        <f>IF($D$5="","",COUNTIFS(tblLines[Store 1],$D$5,tblLines[S1 Fixture type],$A214)+COUNTIFS(tblLines[Store 2],$D$5,tblLines[S2 Fixture type],$A214))</f>
        <v/>
      </c>
      <c r="H214">
        <f>IF($E$5="","",SUMIFS(tblCapacity[Count],tblCapacity[Store],$E$5,tblCapacity[Fixture type],$A214))</f>
        <v/>
      </c>
      <c r="I214">
        <f>IF($E$5="","",COUNTIFS(tblLines[Store 1],$E$5,tblLines[S1 Fixture type],$A214)+COUNTIFS(tblLines[Store 2],$E$5,tblLines[S2 Fixture type],$A214))</f>
        <v/>
      </c>
    </row>
    <row r="215">
      <c r="A215">
        <f>INDEX(lst_FixtureType,17)</f>
        <v/>
      </c>
      <c r="B215">
        <f>IF($B$5="","",SUMIFS(tblCapacity[Count],tblCapacity[Store],$B$5,tblCapacity[Fixture type],$A215))</f>
        <v/>
      </c>
      <c r="C215">
        <f>IF($B$5="","",COUNTIFS(tblLines[Store 1],$B$5,tblLines[S1 Fixture type],$A215)+COUNTIFS(tblLines[Store 2],$B$5,tblLines[S2 Fixture type],$A215))</f>
        <v/>
      </c>
      <c r="D215">
        <f>IF($C$5="","",SUMIFS(tblCapacity[Count],tblCapacity[Store],$C$5,tblCapacity[Fixture type],$A215))</f>
        <v/>
      </c>
      <c r="E215">
        <f>IF($C$5="","",COUNTIFS(tblLines[Store 1],$C$5,tblLines[S1 Fixture type],$A215)+COUNTIFS(tblLines[Store 2],$C$5,tblLines[S2 Fixture type],$A215))</f>
        <v/>
      </c>
      <c r="F215">
        <f>IF($D$5="","",SUMIFS(tblCapacity[Count],tblCapacity[Store],$D$5,tblCapacity[Fixture type],$A215))</f>
        <v/>
      </c>
      <c r="G215">
        <f>IF($D$5="","",COUNTIFS(tblLines[Store 1],$D$5,tblLines[S1 Fixture type],$A215)+COUNTIFS(tblLines[Store 2],$D$5,tblLines[S2 Fixture type],$A215))</f>
        <v/>
      </c>
      <c r="H215">
        <f>IF($E$5="","",SUMIFS(tblCapacity[Count],tblCapacity[Store],$E$5,tblCapacity[Fixture type],$A215))</f>
        <v/>
      </c>
      <c r="I215">
        <f>IF($E$5="","",COUNTIFS(tblLines[Store 1],$E$5,tblLines[S1 Fixture type],$A215)+COUNTIFS(tblLines[Store 2],$E$5,tblLines[S2 Fixture type],$A215))</f>
        <v/>
      </c>
    </row>
    <row r="216">
      <c r="A216">
        <f>INDEX(lst_FixtureType,18)</f>
        <v/>
      </c>
      <c r="B216">
        <f>IF($B$5="","",SUMIFS(tblCapacity[Count],tblCapacity[Store],$B$5,tblCapacity[Fixture type],$A216))</f>
        <v/>
      </c>
      <c r="C216">
        <f>IF($B$5="","",COUNTIFS(tblLines[Store 1],$B$5,tblLines[S1 Fixture type],$A216)+COUNTIFS(tblLines[Store 2],$B$5,tblLines[S2 Fixture type],$A216))</f>
        <v/>
      </c>
      <c r="D216">
        <f>IF($C$5="","",SUMIFS(tblCapacity[Count],tblCapacity[Store],$C$5,tblCapacity[Fixture type],$A216))</f>
        <v/>
      </c>
      <c r="E216">
        <f>IF($C$5="","",COUNTIFS(tblLines[Store 1],$C$5,tblLines[S1 Fixture type],$A216)+COUNTIFS(tblLines[Store 2],$C$5,tblLines[S2 Fixture type],$A216))</f>
        <v/>
      </c>
      <c r="F216">
        <f>IF($D$5="","",SUMIFS(tblCapacity[Count],tblCapacity[Store],$D$5,tblCapacity[Fixture type],$A216))</f>
        <v/>
      </c>
      <c r="G216">
        <f>IF($D$5="","",COUNTIFS(tblLines[Store 1],$D$5,tblLines[S1 Fixture type],$A216)+COUNTIFS(tblLines[Store 2],$D$5,tblLines[S2 Fixture type],$A216))</f>
        <v/>
      </c>
      <c r="H216">
        <f>IF($E$5="","",SUMIFS(tblCapacity[Count],tblCapacity[Store],$E$5,tblCapacity[Fixture type],$A216))</f>
        <v/>
      </c>
      <c r="I216">
        <f>IF($E$5="","",COUNTIFS(tblLines[Store 1],$E$5,tblLines[S1 Fixture type],$A216)+COUNTIFS(tblLines[Store 2],$E$5,tblLines[S2 Fixture type],$A216))</f>
        <v/>
      </c>
    </row>
    <row r="217">
      <c r="A217">
        <f>INDEX(lst_FixtureType,19)</f>
        <v/>
      </c>
      <c r="B217">
        <f>IF($B$5="","",SUMIFS(tblCapacity[Count],tblCapacity[Store],$B$5,tblCapacity[Fixture type],$A217))</f>
        <v/>
      </c>
      <c r="C217">
        <f>IF($B$5="","",COUNTIFS(tblLines[Store 1],$B$5,tblLines[S1 Fixture type],$A217)+COUNTIFS(tblLines[Store 2],$B$5,tblLines[S2 Fixture type],$A217))</f>
        <v/>
      </c>
      <c r="D217">
        <f>IF($C$5="","",SUMIFS(tblCapacity[Count],tblCapacity[Store],$C$5,tblCapacity[Fixture type],$A217))</f>
        <v/>
      </c>
      <c r="E217">
        <f>IF($C$5="","",COUNTIFS(tblLines[Store 1],$C$5,tblLines[S1 Fixture type],$A217)+COUNTIFS(tblLines[Store 2],$C$5,tblLines[S2 Fixture type],$A217))</f>
        <v/>
      </c>
      <c r="F217">
        <f>IF($D$5="","",SUMIFS(tblCapacity[Count],tblCapacity[Store],$D$5,tblCapacity[Fixture type],$A217))</f>
        <v/>
      </c>
      <c r="G217">
        <f>IF($D$5="","",COUNTIFS(tblLines[Store 1],$D$5,tblLines[S1 Fixture type],$A217)+COUNTIFS(tblLines[Store 2],$D$5,tblLines[S2 Fixture type],$A217))</f>
        <v/>
      </c>
      <c r="H217">
        <f>IF($E$5="","",SUMIFS(tblCapacity[Count],tblCapacity[Store],$E$5,tblCapacity[Fixture type],$A217))</f>
        <v/>
      </c>
      <c r="I217">
        <f>IF($E$5="","",COUNTIFS(tblLines[Store 1],$E$5,tblLines[S1 Fixture type],$A217)+COUNTIFS(tblLines[Store 2],$E$5,tblLines[S2 Fixture type],$A217))</f>
        <v/>
      </c>
    </row>
    <row r="218">
      <c r="A218">
        <f>INDEX(lst_FixtureType,20)</f>
        <v/>
      </c>
      <c r="B218">
        <f>IF($B$5="","",SUMIFS(tblCapacity[Count],tblCapacity[Store],$B$5,tblCapacity[Fixture type],$A218))</f>
        <v/>
      </c>
      <c r="C218">
        <f>IF($B$5="","",COUNTIFS(tblLines[Store 1],$B$5,tblLines[S1 Fixture type],$A218)+COUNTIFS(tblLines[Store 2],$B$5,tblLines[S2 Fixture type],$A218))</f>
        <v/>
      </c>
      <c r="D218">
        <f>IF($C$5="","",SUMIFS(tblCapacity[Count],tblCapacity[Store],$C$5,tblCapacity[Fixture type],$A218))</f>
        <v/>
      </c>
      <c r="E218">
        <f>IF($C$5="","",COUNTIFS(tblLines[Store 1],$C$5,tblLines[S1 Fixture type],$A218)+COUNTIFS(tblLines[Store 2],$C$5,tblLines[S2 Fixture type],$A218))</f>
        <v/>
      </c>
      <c r="F218">
        <f>IF($D$5="","",SUMIFS(tblCapacity[Count],tblCapacity[Store],$D$5,tblCapacity[Fixture type],$A218))</f>
        <v/>
      </c>
      <c r="G218">
        <f>IF($D$5="","",COUNTIFS(tblLines[Store 1],$D$5,tblLines[S1 Fixture type],$A218)+COUNTIFS(tblLines[Store 2],$D$5,tblLines[S2 Fixture type],$A218))</f>
        <v/>
      </c>
      <c r="H218">
        <f>IF($E$5="","",SUMIFS(tblCapacity[Count],tblCapacity[Store],$E$5,tblCapacity[Fixture type],$A218))</f>
        <v/>
      </c>
      <c r="I218">
        <f>IF($E$5="","",COUNTIFS(tblLines[Store 1],$E$5,tblLines[S1 Fixture type],$A218)+COUNTIFS(tblLines[Store 2],$E$5,tblLines[S2 Fixture type],$A218))</f>
        <v/>
      </c>
    </row>
    <row r="219">
      <c r="A219">
        <f>INDEX(lst_FixtureType,21)</f>
        <v/>
      </c>
      <c r="B219">
        <f>IF($B$5="","",SUMIFS(tblCapacity[Count],tblCapacity[Store],$B$5,tblCapacity[Fixture type],$A219))</f>
        <v/>
      </c>
      <c r="C219">
        <f>IF($B$5="","",COUNTIFS(tblLines[Store 1],$B$5,tblLines[S1 Fixture type],$A219)+COUNTIFS(tblLines[Store 2],$B$5,tblLines[S2 Fixture type],$A219))</f>
        <v/>
      </c>
      <c r="D219">
        <f>IF($C$5="","",SUMIFS(tblCapacity[Count],tblCapacity[Store],$C$5,tblCapacity[Fixture type],$A219))</f>
        <v/>
      </c>
      <c r="E219">
        <f>IF($C$5="","",COUNTIFS(tblLines[Store 1],$C$5,tblLines[S1 Fixture type],$A219)+COUNTIFS(tblLines[Store 2],$C$5,tblLines[S2 Fixture type],$A219))</f>
        <v/>
      </c>
      <c r="F219">
        <f>IF($D$5="","",SUMIFS(tblCapacity[Count],tblCapacity[Store],$D$5,tblCapacity[Fixture type],$A219))</f>
        <v/>
      </c>
      <c r="G219">
        <f>IF($D$5="","",COUNTIFS(tblLines[Store 1],$D$5,tblLines[S1 Fixture type],$A219)+COUNTIFS(tblLines[Store 2],$D$5,tblLines[S2 Fixture type],$A219))</f>
        <v/>
      </c>
      <c r="H219">
        <f>IF($E$5="","",SUMIFS(tblCapacity[Count],tblCapacity[Store],$E$5,tblCapacity[Fixture type],$A219))</f>
        <v/>
      </c>
      <c r="I219">
        <f>IF($E$5="","",COUNTIFS(tblLines[Store 1],$E$5,tblLines[S1 Fixture type],$A219)+COUNTIFS(tblLines[Store 2],$E$5,tblLines[S2 Fixture type],$A219))</f>
        <v/>
      </c>
    </row>
  </sheetData>
  <dataValidations count="2">
    <dataValidation sqref="B4" showDropDown="0" showInputMessage="0" showErrorMessage="0" allowBlank="1" type="list">
      <formula1>=lst_Launch</formula1>
    </dataValidation>
    <dataValidation sqref="B5:E5" showDropDown="0" showInputMessage="0" showErrorMessage="0" allowBlank="1" type="list">
      <formula1>=lst_Store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X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3" max="3"/>
    <col width="13" customWidth="1" min="5" max="5"/>
    <col width="13" customWidth="1" min="7" max="7"/>
    <col width="20" customWidth="1" min="9" max="9"/>
    <col width="13" customWidth="1" min="11" max="11"/>
    <col width="13" customWidth="1" min="13" max="13"/>
    <col width="26" customWidth="1" min="15" max="15"/>
    <col width="15" customWidth="1" min="17" max="17"/>
    <col width="16" customWidth="1" min="19" max="19"/>
    <col width="19" customWidth="1" min="21" max="21"/>
    <col width="21" customWidth="1" min="23" max="23"/>
    <col width="13" customWidth="1" min="25" max="25"/>
    <col width="21" customWidth="1" min="27" max="27"/>
    <col width="13" customWidth="1" min="29" max="29"/>
    <col width="18" customWidth="1" min="31" max="31"/>
    <col width="18" customWidth="1" min="33" max="33"/>
    <col width="15" customWidth="1" min="35" max="35"/>
    <col width="21" customWidth="1" min="37" max="37"/>
    <col width="13" customWidth="1" min="39" max="39"/>
    <col width="13" customWidth="1" min="41" max="41"/>
    <col width="14" customWidth="1" min="43" max="43"/>
    <col width="19" customWidth="1" min="45" max="45"/>
    <col width="14" customWidth="1" min="47" max="47"/>
    <col width="18" customWidth="1" min="49" max="49"/>
    <col width="24" customWidth="1" min="51" max="51"/>
    <col width="20" customWidth="1" min="53" max="53"/>
    <col width="16" customWidth="1" min="55" max="55"/>
    <col width="16" customWidth="1" min="57" max="57"/>
    <col width="13" customWidth="1" min="59" max="59"/>
    <col width="13" customWidth="1" min="61" max="61"/>
    <col width="13" customWidth="1" min="63" max="63"/>
    <col width="17" customWidth="1" min="65" max="65"/>
    <col width="15" customWidth="1" min="67" max="67"/>
    <col width="13" customWidth="1" min="69" max="69"/>
    <col width="26" customWidth="1" min="71" max="71"/>
    <col width="36" customWidth="1" min="72" max="72"/>
    <col width="36" customWidth="1" min="73" max="73"/>
    <col width="13" customWidth="1" min="74" max="74"/>
    <col width="14" customWidth="1" min="76" max="76"/>
  </cols>
  <sheetData>
    <row r="1">
      <c r="A1" s="1" t="inlineStr">
        <is>
          <t>Lists</t>
        </is>
      </c>
      <c r="B1" t="inlineStr">
        <is>
          <t>Every value list. Dropdowns read from here. Normalised spellings lists what the importer changed. Bold green = counts as done.</t>
        </is>
      </c>
    </row>
    <row r="3">
      <c r="A3" s="2" t="inlineStr">
        <is>
          <t>YesNo</t>
        </is>
      </c>
      <c r="C3" s="2" t="inlineStr">
        <is>
          <t>YesNoTBC</t>
        </is>
      </c>
      <c r="E3" s="2" t="inlineStr">
        <is>
          <t>Market</t>
        </is>
      </c>
      <c r="G3" s="2" t="inlineStr">
        <is>
          <t>MainCategory</t>
        </is>
      </c>
      <c r="I3" s="2" t="inlineStr">
        <is>
          <t>Zone</t>
        </is>
      </c>
      <c r="K3" s="2" t="inlineStr">
        <is>
          <t>BrandCode</t>
        </is>
      </c>
      <c r="M3" s="2" t="inlineStr">
        <is>
          <t>Origin</t>
        </is>
      </c>
      <c r="O3" s="2" t="inlineStr">
        <is>
          <t>MarketStatus</t>
        </is>
      </c>
      <c r="Q3" s="2" t="inlineStr">
        <is>
          <t>InternalCategory</t>
        </is>
      </c>
      <c r="S3" s="2" t="inlineStr">
        <is>
          <t>MarketingOK</t>
        </is>
      </c>
      <c r="U3" s="2" t="inlineStr">
        <is>
          <t>Exclusivity</t>
        </is>
      </c>
      <c r="W3" s="2" t="inlineStr">
        <is>
          <t>Listing</t>
        </is>
      </c>
      <c r="Y3" s="2" t="inlineStr">
        <is>
          <t>AtLaunch</t>
        </is>
      </c>
      <c r="AA3" s="2" t="inlineStr">
        <is>
          <t>Comms</t>
        </is>
      </c>
      <c r="AC3" s="2" t="inlineStr">
        <is>
          <t>FloorPlan</t>
        </is>
      </c>
      <c r="AE3" s="2" t="inlineStr">
        <is>
          <t>FixtureType</t>
        </is>
      </c>
      <c r="AG3" s="2" t="inlineStr">
        <is>
          <t>PO</t>
        </is>
      </c>
      <c r="AI3" s="2" t="inlineStr">
        <is>
          <t>VPA</t>
        </is>
      </c>
      <c r="AK3" s="2" t="inlineStr">
        <is>
          <t>Registration</t>
        </is>
      </c>
      <c r="AM3" s="2" t="inlineStr">
        <is>
          <t>Quarter</t>
        </is>
      </c>
      <c r="AO3" s="2" t="inlineStr">
        <is>
          <t>ProjectComms</t>
        </is>
      </c>
      <c r="AQ3" s="2" t="inlineStr">
        <is>
          <t>Schematics</t>
        </is>
      </c>
      <c r="AS3" s="2" t="inlineStr">
        <is>
          <t>VendorRoute</t>
        </is>
      </c>
      <c r="AU3" s="2" t="inlineStr">
        <is>
          <t>VendorState</t>
        </is>
      </c>
      <c r="AW3" s="2" t="inlineStr">
        <is>
          <t>ICF</t>
        </is>
      </c>
      <c r="AY3" s="2" t="inlineStr">
        <is>
          <t>SupplierForm</t>
        </is>
      </c>
      <c r="BA3" s="2" t="inlineStr">
        <is>
          <t>AccountForm</t>
        </is>
      </c>
      <c r="BC3" s="2" t="inlineStr">
        <is>
          <t>OrderShared</t>
        </is>
      </c>
      <c r="BE3" s="2" t="inlineStr">
        <is>
          <t>DistStatus</t>
        </is>
      </c>
      <c r="BG3" s="2" t="inlineStr">
        <is>
          <t>RegRoute</t>
        </is>
      </c>
      <c r="BI3" s="2" t="inlineStr">
        <is>
          <t>InstallStatus</t>
        </is>
      </c>
      <c r="BK3" s="2" t="inlineStr">
        <is>
          <t>DeliveryStatus</t>
        </is>
      </c>
      <c r="BM3" s="2" t="inlineStr">
        <is>
          <t>VMStatus</t>
        </is>
      </c>
      <c r="BO3" s="2" t="inlineStr">
        <is>
          <t>NPDType</t>
        </is>
      </c>
      <c r="BQ3" s="2" t="inlineStr">
        <is>
          <t>StoreRole</t>
        </is>
      </c>
      <c r="BS3" s="2" t="inlineStr">
        <is>
          <t>Normalised</t>
        </is>
      </c>
      <c r="BX3" s="2" t="inlineStr">
        <is>
          <t>BrandTeams</t>
        </is>
      </c>
    </row>
    <row r="4">
      <c r="A4" s="11" t="inlineStr">
        <is>
          <t>YesNo</t>
        </is>
      </c>
      <c r="C4" s="11" t="inlineStr">
        <is>
          <t>YesNoTBC</t>
        </is>
      </c>
      <c r="E4" s="11" t="inlineStr">
        <is>
          <t>Market</t>
        </is>
      </c>
      <c r="G4" s="11" t="inlineStr">
        <is>
          <t>MainCategory</t>
        </is>
      </c>
      <c r="I4" s="11" t="inlineStr">
        <is>
          <t>Zone</t>
        </is>
      </c>
      <c r="K4" s="11" t="inlineStr">
        <is>
          <t>BrandCode</t>
        </is>
      </c>
      <c r="M4" s="11" t="inlineStr">
        <is>
          <t>Origin</t>
        </is>
      </c>
      <c r="O4" s="11" t="inlineStr">
        <is>
          <t>MarketStatus</t>
        </is>
      </c>
      <c r="Q4" s="11" t="inlineStr">
        <is>
          <t>InternalCategory</t>
        </is>
      </c>
      <c r="S4" s="11" t="inlineStr">
        <is>
          <t>MarketingOK</t>
        </is>
      </c>
      <c r="U4" s="11" t="inlineStr">
        <is>
          <t>Exclusivity</t>
        </is>
      </c>
      <c r="W4" s="11" t="inlineStr">
        <is>
          <t>Listing</t>
        </is>
      </c>
      <c r="Y4" s="11" t="inlineStr">
        <is>
          <t>AtLaunch</t>
        </is>
      </c>
      <c r="AA4" s="11" t="inlineStr">
        <is>
          <t>Comms</t>
        </is>
      </c>
      <c r="AC4" s="11" t="inlineStr">
        <is>
          <t>FloorPlan</t>
        </is>
      </c>
      <c r="AE4" s="11" t="inlineStr">
        <is>
          <t>FixtureType</t>
        </is>
      </c>
      <c r="AG4" s="11" t="inlineStr">
        <is>
          <t>PO</t>
        </is>
      </c>
      <c r="AI4" s="11" t="inlineStr">
        <is>
          <t>VPA</t>
        </is>
      </c>
      <c r="AK4" s="11" t="inlineStr">
        <is>
          <t>Registration</t>
        </is>
      </c>
      <c r="AM4" s="11" t="inlineStr">
        <is>
          <t>Quarter</t>
        </is>
      </c>
      <c r="AO4" s="11" t="inlineStr">
        <is>
          <t>ProjectComms</t>
        </is>
      </c>
      <c r="AQ4" s="11" t="inlineStr">
        <is>
          <t>Schematics</t>
        </is>
      </c>
      <c r="AS4" s="11" t="inlineStr">
        <is>
          <t>VendorRoute</t>
        </is>
      </c>
      <c r="AU4" s="11" t="inlineStr">
        <is>
          <t>VendorState</t>
        </is>
      </c>
      <c r="AW4" s="11" t="inlineStr">
        <is>
          <t>ICF</t>
        </is>
      </c>
      <c r="AY4" s="11" t="inlineStr">
        <is>
          <t>SupplierForm</t>
        </is>
      </c>
      <c r="BA4" s="11" t="inlineStr">
        <is>
          <t>AccountForm</t>
        </is>
      </c>
      <c r="BC4" s="11" t="inlineStr">
        <is>
          <t>OrderShared</t>
        </is>
      </c>
      <c r="BE4" s="11" t="inlineStr">
        <is>
          <t>DistStatus</t>
        </is>
      </c>
      <c r="BG4" s="11" t="inlineStr">
        <is>
          <t>RegRoute</t>
        </is>
      </c>
      <c r="BI4" s="11" t="inlineStr">
        <is>
          <t>InstallStatus</t>
        </is>
      </c>
      <c r="BK4" s="11" t="inlineStr">
        <is>
          <t>DeliveryStatus</t>
        </is>
      </c>
      <c r="BM4" s="11" t="inlineStr">
        <is>
          <t>VMStatus</t>
        </is>
      </c>
      <c r="BO4" s="11" t="inlineStr">
        <is>
          <t>NPDType</t>
        </is>
      </c>
      <c r="BQ4" s="11" t="inlineStr">
        <is>
          <t>StoreRole</t>
        </is>
      </c>
      <c r="BS4" s="11" t="inlineStr">
        <is>
          <t>Field</t>
        </is>
      </c>
      <c r="BT4" s="11" t="inlineStr">
        <is>
          <t>Original</t>
        </is>
      </c>
      <c r="BU4" s="11" t="inlineStr">
        <is>
          <t>Stored as</t>
        </is>
      </c>
      <c r="BV4" s="11" t="inlineStr">
        <is>
          <t>Cells</t>
        </is>
      </c>
      <c r="BX4" s="11" t="inlineStr">
        <is>
          <t>Brand team</t>
        </is>
      </c>
    </row>
    <row r="5">
      <c r="A5" t="inlineStr">
        <is>
          <t>Yes</t>
        </is>
      </c>
      <c r="C5" t="inlineStr">
        <is>
          <t>Yes</t>
        </is>
      </c>
      <c r="E5" t="inlineStr">
        <is>
          <t>QAT</t>
        </is>
      </c>
      <c r="G5" t="inlineStr">
        <is>
          <t>Skincare</t>
        </is>
      </c>
      <c r="I5" t="inlineStr">
        <is>
          <t>Fragrance</t>
        </is>
      </c>
      <c r="K5" t="inlineStr">
        <is>
          <t>Purple</t>
        </is>
      </c>
      <c r="M5" t="inlineStr">
        <is>
          <t>Local</t>
        </is>
      </c>
      <c r="O5" t="inlineStr">
        <is>
          <t>In ME, new to UB</t>
        </is>
      </c>
      <c r="Q5" t="inlineStr">
        <is>
          <t>Korean</t>
        </is>
      </c>
      <c r="S5" t="inlineStr">
        <is>
          <t>OK</t>
        </is>
      </c>
      <c r="U5" t="inlineStr">
        <is>
          <t>Yes</t>
        </is>
      </c>
      <c r="W5" s="21" t="inlineStr">
        <is>
          <t>Yes</t>
        </is>
      </c>
      <c r="Y5" t="inlineStr">
        <is>
          <t>Yes</t>
        </is>
      </c>
      <c r="AA5" t="inlineStr">
        <is>
          <t>Not sent</t>
        </is>
      </c>
      <c r="AC5" t="inlineStr">
        <is>
          <t>Pending</t>
        </is>
      </c>
      <c r="AE5" t="inlineStr">
        <is>
          <t>Gondola</t>
        </is>
      </c>
      <c r="AG5" t="inlineStr">
        <is>
          <t>Not raised</t>
        </is>
      </c>
      <c r="AI5" t="inlineStr">
        <is>
          <t>Pending</t>
        </is>
      </c>
      <c r="AK5" s="21" t="inlineStr">
        <is>
          <t>Not needed</t>
        </is>
      </c>
      <c r="AM5" t="inlineStr">
        <is>
          <t>Q1</t>
        </is>
      </c>
      <c r="AO5" s="21" t="inlineStr">
        <is>
          <t>Yes</t>
        </is>
      </c>
      <c r="AQ5" t="inlineStr">
        <is>
          <t>Pending</t>
        </is>
      </c>
      <c r="AS5" t="inlineStr">
        <is>
          <t>Qatar extension</t>
        </is>
      </c>
      <c r="AU5" t="inlineStr">
        <is>
          <t>Not started</t>
        </is>
      </c>
      <c r="AW5" t="inlineStr">
        <is>
          <t>Pending</t>
        </is>
      </c>
      <c r="AY5" t="inlineStr">
        <is>
          <t>Yes</t>
        </is>
      </c>
      <c r="BA5" t="inlineStr">
        <is>
          <t>No request</t>
        </is>
      </c>
      <c r="BC5" t="inlineStr">
        <is>
          <t>Yes</t>
        </is>
      </c>
      <c r="BE5" t="inlineStr">
        <is>
          <t>Distributor</t>
        </is>
      </c>
      <c r="BG5" t="inlineStr">
        <is>
          <t>By brand</t>
        </is>
      </c>
      <c r="BI5" t="inlineStr">
        <is>
          <t>Scheduled</t>
        </is>
      </c>
      <c r="BK5" t="inlineStr">
        <is>
          <t>Scheduled</t>
        </is>
      </c>
      <c r="BM5" t="inlineStr">
        <is>
          <t>Done</t>
        </is>
      </c>
      <c r="BO5" t="inlineStr">
        <is>
          <t>NPD</t>
        </is>
      </c>
      <c r="BQ5" t="inlineStr">
        <is>
          <t>Launching</t>
        </is>
      </c>
    </row>
    <row r="6">
      <c r="A6" t="inlineStr">
        <is>
          <t>No</t>
        </is>
      </c>
      <c r="C6" t="inlineStr">
        <is>
          <t>No</t>
        </is>
      </c>
      <c r="E6" t="inlineStr">
        <is>
          <t>KSA</t>
        </is>
      </c>
      <c r="G6" t="inlineStr">
        <is>
          <t>Cosmetics</t>
        </is>
      </c>
      <c r="I6" t="inlineStr">
        <is>
          <t>Prestige skincare</t>
        </is>
      </c>
      <c r="K6" t="inlineStr">
        <is>
          <t>Blue</t>
        </is>
      </c>
      <c r="M6" t="inlineStr">
        <is>
          <t>Ulta US</t>
        </is>
      </c>
      <c r="O6" t="inlineStr">
        <is>
          <t>In US, already in market</t>
        </is>
      </c>
      <c r="Q6" t="inlineStr">
        <is>
          <t>Local founder</t>
        </is>
      </c>
      <c r="S6" t="inlineStr">
        <is>
          <t>OK - Korean</t>
        </is>
      </c>
      <c r="U6" t="inlineStr">
        <is>
          <t>Yes - TBC</t>
        </is>
      </c>
      <c r="W6" t="inlineStr">
        <is>
          <t>No</t>
        </is>
      </c>
      <c r="Y6" t="inlineStr">
        <is>
          <t>Yes - late</t>
        </is>
      </c>
      <c r="AA6" t="inlineStr">
        <is>
          <t>To send</t>
        </is>
      </c>
      <c r="AC6" s="21" t="inlineStr">
        <is>
          <t>Sent</t>
        </is>
      </c>
      <c r="AE6" t="inlineStr">
        <is>
          <t>Wall</t>
        </is>
      </c>
      <c r="AG6" t="inlineStr">
        <is>
          <t>Pending</t>
        </is>
      </c>
      <c r="AI6" t="inlineStr">
        <is>
          <t>Shared</t>
        </is>
      </c>
      <c r="AK6" t="inlineStr">
        <is>
          <t>New to market</t>
        </is>
      </c>
      <c r="AM6" t="inlineStr">
        <is>
          <t>Q2</t>
        </is>
      </c>
      <c r="AO6" s="21" t="inlineStr">
        <is>
          <t>US brand</t>
        </is>
      </c>
      <c r="AQ6" t="inlineStr">
        <is>
          <t>Revised</t>
        </is>
      </c>
      <c r="AS6" t="inlineStr">
        <is>
          <t>UAE extension</t>
        </is>
      </c>
      <c r="AU6" t="inlineStr">
        <is>
          <t>WIP</t>
        </is>
      </c>
      <c r="AW6" s="21" t="inlineStr">
        <is>
          <t>Received</t>
        </is>
      </c>
      <c r="AY6" t="inlineStr">
        <is>
          <t>Existing</t>
        </is>
      </c>
      <c r="BA6" t="inlineStr">
        <is>
          <t>Signatory required</t>
        </is>
      </c>
      <c r="BC6" t="inlineStr">
        <is>
          <t>WIP</t>
        </is>
      </c>
      <c r="BE6" t="inlineStr">
        <is>
          <t>From US</t>
        </is>
      </c>
      <c r="BG6" t="inlineStr">
        <is>
          <t>By retailer</t>
        </is>
      </c>
      <c r="BI6" t="inlineStr">
        <is>
          <t>TBC</t>
        </is>
      </c>
      <c r="BK6" t="inlineStr">
        <is>
          <t>TBC</t>
        </is>
      </c>
      <c r="BM6" t="inlineStr">
        <is>
          <t>Trays missing</t>
        </is>
      </c>
      <c r="BO6" t="inlineStr">
        <is>
          <t>Replenishment</t>
        </is>
      </c>
      <c r="BQ6" t="inlineStr">
        <is>
          <t>Reference</t>
        </is>
      </c>
    </row>
    <row r="7">
      <c r="C7" t="inlineStr">
        <is>
          <t>TBC</t>
        </is>
      </c>
      <c r="E7" t="inlineStr">
        <is>
          <t>UAE</t>
        </is>
      </c>
      <c r="G7" t="inlineStr">
        <is>
          <t>Fragrance</t>
        </is>
      </c>
      <c r="I7" t="inlineStr">
        <is>
          <t>Mass skincare</t>
        </is>
      </c>
      <c r="K7" t="inlineStr">
        <is>
          <t>Green</t>
        </is>
      </c>
      <c r="O7" t="inlineStr">
        <is>
          <t>In US, new to ME</t>
        </is>
      </c>
      <c r="Q7" t="inlineStr">
        <is>
          <t>KSA local</t>
        </is>
      </c>
      <c r="S7" t="inlineStr">
        <is>
          <t>OK - Korean US</t>
        </is>
      </c>
      <c r="U7" t="inlineStr">
        <is>
          <t>No</t>
        </is>
      </c>
      <c r="W7" t="inlineStr">
        <is>
          <t>TBC</t>
        </is>
      </c>
      <c r="Y7" t="inlineStr">
        <is>
          <t>+30 days</t>
        </is>
      </c>
      <c r="AA7" t="inlineStr">
        <is>
          <t>To confirm</t>
        </is>
      </c>
      <c r="AE7" t="inlineStr">
        <is>
          <t>Endcap</t>
        </is>
      </c>
      <c r="AG7" t="inlineStr">
        <is>
          <t>Pending PRC</t>
        </is>
      </c>
      <c r="AI7" t="inlineStr">
        <is>
          <t>Countersigned</t>
        </is>
      </c>
      <c r="AK7" t="inlineStr">
        <is>
          <t>Under registration</t>
        </is>
      </c>
      <c r="AM7" t="inlineStr">
        <is>
          <t>Q3</t>
        </is>
      </c>
      <c r="AO7" t="inlineStr">
        <is>
          <t>Out</t>
        </is>
      </c>
      <c r="AQ7" s="21" t="inlineStr">
        <is>
          <t>Approved</t>
        </is>
      </c>
      <c r="AS7" t="inlineStr">
        <is>
          <t>KWT extension</t>
        </is>
      </c>
      <c r="AU7" t="inlineStr">
        <is>
          <t>Followed up</t>
        </is>
      </c>
      <c r="AW7" s="21" t="inlineStr">
        <is>
          <t>Not required</t>
        </is>
      </c>
      <c r="AY7" t="inlineStr">
        <is>
          <t>WIP - C/O supply chain</t>
        </is>
      </c>
      <c r="BA7" t="inlineStr">
        <is>
          <t>Docs shared</t>
        </is>
      </c>
      <c r="BC7" t="inlineStr">
        <is>
          <t>Later</t>
        </is>
      </c>
      <c r="BE7" t="inlineStr">
        <is>
          <t>No distributor</t>
        </is>
      </c>
      <c r="BG7" t="inlineStr">
        <is>
          <t>TBC</t>
        </is>
      </c>
      <c r="BI7" t="inlineStr">
        <is>
          <t>Done</t>
        </is>
      </c>
      <c r="BK7" t="inlineStr">
        <is>
          <t>Delivered</t>
        </is>
      </c>
      <c r="BM7" t="inlineStr">
        <is>
          <t>Graphic missing</t>
        </is>
      </c>
      <c r="BO7" t="inlineStr">
        <is>
          <t>New brand</t>
        </is>
      </c>
    </row>
    <row r="8">
      <c r="E8" t="inlineStr">
        <is>
          <t>KWT</t>
        </is>
      </c>
      <c r="G8" t="inlineStr">
        <is>
          <t>Hair</t>
        </is>
      </c>
      <c r="I8" t="inlineStr">
        <is>
          <t>Mass cosmetics</t>
        </is>
      </c>
      <c r="K8" t="inlineStr">
        <is>
          <t>Yellow</t>
        </is>
      </c>
      <c r="Q8" t="inlineStr">
        <is>
          <t>QAT local</t>
        </is>
      </c>
      <c r="S8" t="inlineStr">
        <is>
          <t>OK - celebrity</t>
        </is>
      </c>
      <c r="U8" t="inlineStr">
        <is>
          <t>Non-exclusive</t>
        </is>
      </c>
      <c r="W8" t="inlineStr">
        <is>
          <t>Late</t>
        </is>
      </c>
      <c r="Y8" t="inlineStr">
        <is>
          <t>+60 days</t>
        </is>
      </c>
      <c r="AA8" s="21" t="inlineStr">
        <is>
          <t>Sent</t>
        </is>
      </c>
      <c r="AE8" t="inlineStr">
        <is>
          <t>Iconic</t>
        </is>
      </c>
      <c r="AG8" s="21" t="inlineStr">
        <is>
          <t>Released</t>
        </is>
      </c>
      <c r="AI8" s="21" t="inlineStr">
        <is>
          <t>Signed</t>
        </is>
      </c>
      <c r="AK8" t="inlineStr">
        <is>
          <t>With brand team</t>
        </is>
      </c>
      <c r="AM8" t="inlineStr">
        <is>
          <t>Q4</t>
        </is>
      </c>
      <c r="AO8" t="inlineStr">
        <is>
          <t>Grey</t>
        </is>
      </c>
      <c r="AQ8" s="21" t="inlineStr">
        <is>
          <t>Same as</t>
        </is>
      </c>
      <c r="AS8" t="inlineStr">
        <is>
          <t>New supplier</t>
        </is>
      </c>
      <c r="AU8" t="inlineStr">
        <is>
          <t>No response</t>
        </is>
      </c>
      <c r="AW8" t="inlineStr">
        <is>
          <t>C/O supply chain</t>
        </is>
      </c>
      <c r="AY8" t="inlineStr">
        <is>
          <t>C/O supply chain</t>
        </is>
      </c>
      <c r="BA8" t="inlineStr">
        <is>
          <t>Provided</t>
        </is>
      </c>
      <c r="BC8" t="inlineStr">
        <is>
          <t>No item master</t>
        </is>
      </c>
      <c r="BE8" t="inlineStr">
        <is>
          <t>Need POC</t>
        </is>
      </c>
    </row>
    <row r="9">
      <c r="E9" t="inlineStr">
        <is>
          <t>BHR</t>
        </is>
      </c>
      <c r="G9" t="inlineStr">
        <is>
          <t>Wellness</t>
        </is>
      </c>
      <c r="I9" t="inlineStr">
        <is>
          <t>Prestige cosmetics</t>
        </is>
      </c>
      <c r="K9" t="inlineStr">
        <is>
          <t>Grey</t>
        </is>
      </c>
      <c r="Q9" t="inlineStr">
        <is>
          <t>MUP artist</t>
        </is>
      </c>
      <c r="S9" t="inlineStr">
        <is>
          <t>OK - exclusive</t>
        </is>
      </c>
      <c r="U9" t="inlineStr">
        <is>
          <t>TBC</t>
        </is>
      </c>
      <c r="W9" t="inlineStr">
        <is>
          <t>Late - registration</t>
        </is>
      </c>
      <c r="Y9" t="inlineStr">
        <is>
          <t>+90 days</t>
        </is>
      </c>
      <c r="AA9" t="inlineStr">
        <is>
          <t>Late</t>
        </is>
      </c>
      <c r="AE9" t="inlineStr">
        <is>
          <t>Iconic+</t>
        </is>
      </c>
      <c r="AG9" s="21" t="inlineStr">
        <is>
          <t>Picked at US DC</t>
        </is>
      </c>
      <c r="AK9" t="inlineStr">
        <is>
          <t>Need distributor</t>
        </is>
      </c>
      <c r="AO9" t="inlineStr">
        <is>
          <t>TBC</t>
        </is>
      </c>
      <c r="AQ9" s="21" t="inlineStr">
        <is>
          <t>Not required</t>
        </is>
      </c>
      <c r="AS9" t="inlineStr">
        <is>
          <t>Retailer creation</t>
        </is>
      </c>
      <c r="AU9" s="21" t="inlineStr">
        <is>
          <t>Done</t>
        </is>
      </c>
      <c r="AW9" t="inlineStr">
        <is>
          <t>C/O supplier</t>
        </is>
      </c>
      <c r="AY9" t="inlineStr">
        <is>
          <t>C/O supplier</t>
        </is>
      </c>
      <c r="BC9" t="inlineStr">
        <is>
          <t>Out</t>
        </is>
      </c>
      <c r="BE9" t="inlineStr">
        <is>
          <t>TBC</t>
        </is>
      </c>
    </row>
    <row r="10">
      <c r="E10" t="inlineStr">
        <is>
          <t>OMN</t>
        </is>
      </c>
      <c r="G10" t="inlineStr">
        <is>
          <t>Body</t>
        </is>
      </c>
      <c r="I10" t="inlineStr">
        <is>
          <t>Pro hair</t>
        </is>
      </c>
      <c r="K10" t="inlineStr">
        <is>
          <t>TBC</t>
        </is>
      </c>
      <c r="Q10" t="inlineStr">
        <is>
          <t>Chinese</t>
        </is>
      </c>
      <c r="S10" t="inlineStr">
        <is>
          <t>No</t>
        </is>
      </c>
      <c r="U10" t="inlineStr">
        <is>
          <t>Other market only</t>
        </is>
      </c>
      <c r="W10" t="inlineStr">
        <is>
          <t>Other store only</t>
        </is>
      </c>
      <c r="Y10" t="inlineStr">
        <is>
          <t>+120 days</t>
        </is>
      </c>
      <c r="AA10" t="inlineStr">
        <is>
          <t>Late - registration</t>
        </is>
      </c>
      <c r="AE10" t="inlineStr">
        <is>
          <t>Half iconic</t>
        </is>
      </c>
      <c r="AG10" t="inlineStr">
        <is>
          <t>Awaiting HB</t>
        </is>
      </c>
      <c r="AK10" t="inlineStr">
        <is>
          <t>WIP</t>
        </is>
      </c>
      <c r="AO10" t="inlineStr">
        <is>
          <t>Late</t>
        </is>
      </c>
      <c r="AQ10" t="inlineStr">
        <is>
          <t>Dropped</t>
        </is>
      </c>
      <c r="AS10" t="inlineStr">
        <is>
          <t>US brand</t>
        </is>
      </c>
      <c r="AU10" s="21" t="inlineStr">
        <is>
          <t>US brand</t>
        </is>
      </c>
      <c r="AW10" s="21" t="inlineStr">
        <is>
          <t>US brand</t>
        </is>
      </c>
      <c r="AY10" t="inlineStr">
        <is>
          <t>C/O finance</t>
        </is>
      </c>
    </row>
    <row r="11">
      <c r="G11" t="inlineStr">
        <is>
          <t>Accessories</t>
        </is>
      </c>
      <c r="I11" t="inlineStr">
        <is>
          <t>Mass haircare</t>
        </is>
      </c>
      <c r="K11" t="inlineStr">
        <is>
          <t>Other</t>
        </is>
      </c>
      <c r="W11" t="inlineStr">
        <is>
          <t>No contact</t>
        </is>
      </c>
      <c r="Y11" t="inlineStr">
        <is>
          <t>No</t>
        </is>
      </c>
      <c r="AA11" t="inlineStr">
        <is>
          <t>No contact</t>
        </is>
      </c>
      <c r="AE11" t="inlineStr">
        <is>
          <t>Local iconic</t>
        </is>
      </c>
      <c r="AG11" t="inlineStr">
        <is>
          <t>US - pending</t>
        </is>
      </c>
      <c r="AK11" s="21" t="inlineStr">
        <is>
          <t>Registered</t>
        </is>
      </c>
      <c r="AU11" t="inlineStr">
        <is>
          <t>US - pending</t>
        </is>
      </c>
      <c r="AW11" t="inlineStr">
        <is>
          <t>US - pending</t>
        </is>
      </c>
      <c r="AY11" t="inlineStr">
        <is>
          <t>Missing (urgent)</t>
        </is>
      </c>
    </row>
    <row r="12">
      <c r="G12" t="inlineStr">
        <is>
          <t>Other</t>
        </is>
      </c>
      <c r="I12" t="inlineStr">
        <is>
          <t>Hair color</t>
        </is>
      </c>
      <c r="K12" t="inlineStr">
        <is>
          <t>Late</t>
        </is>
      </c>
      <c r="Y12" t="inlineStr">
        <is>
          <t>Not coming</t>
        </is>
      </c>
      <c r="AA12" t="inlineStr">
        <is>
          <t>Not listed</t>
        </is>
      </c>
      <c r="AE12" t="inlineStr">
        <is>
          <t>Iconic wall</t>
        </is>
      </c>
      <c r="AG12" t="inlineStr">
        <is>
          <t>Late</t>
        </is>
      </c>
      <c r="AK12" t="inlineStr">
        <is>
          <t>Late</t>
        </is>
      </c>
      <c r="AU12" t="inlineStr">
        <is>
          <t>Late</t>
        </is>
      </c>
      <c r="AW12" t="inlineStr">
        <is>
          <t>Late</t>
        </is>
      </c>
      <c r="AY12" t="inlineStr">
        <is>
          <t>No comms</t>
        </is>
      </c>
    </row>
    <row r="13">
      <c r="I13" t="inlineStr">
        <is>
          <t>Body</t>
        </is>
      </c>
      <c r="Y13" t="inlineStr">
        <is>
          <t>TBC</t>
        </is>
      </c>
      <c r="AA13" t="inlineStr">
        <is>
          <t>TBC</t>
        </is>
      </c>
      <c r="AE13" t="inlineStr">
        <is>
          <t>Influencer wall</t>
        </is>
      </c>
      <c r="AG13" t="inlineStr">
        <is>
          <t>Other store only</t>
        </is>
      </c>
      <c r="AK13" t="inlineStr">
        <is>
          <t>Late - registration</t>
        </is>
      </c>
      <c r="AW13" t="inlineStr">
        <is>
          <t>Out</t>
        </is>
      </c>
    </row>
    <row r="14">
      <c r="I14" t="inlineStr">
        <is>
          <t>Wellness</t>
        </is>
      </c>
      <c r="AE14" t="inlineStr">
        <is>
          <t>Pod</t>
        </is>
      </c>
      <c r="AK14" t="inlineStr">
        <is>
          <t>TBC</t>
        </is>
      </c>
    </row>
    <row r="15">
      <c r="I15" t="inlineStr">
        <is>
          <t>Accessories</t>
        </is>
      </c>
      <c r="AE15" t="inlineStr">
        <is>
          <t>Body pod</t>
        </is>
      </c>
    </row>
    <row r="16">
      <c r="I16" t="inlineStr">
        <is>
          <t>PCA</t>
        </is>
      </c>
      <c r="AE16" t="inlineStr">
        <is>
          <t>Impulse</t>
        </is>
      </c>
    </row>
    <row r="17">
      <c r="I17" t="inlineStr">
        <is>
          <t>Skincare</t>
        </is>
      </c>
      <c r="AE17" t="inlineStr">
        <is>
          <t>Bay</t>
        </is>
      </c>
    </row>
    <row r="18">
      <c r="AE18" t="inlineStr">
        <is>
          <t>Bespoke bay</t>
        </is>
      </c>
    </row>
    <row r="19">
      <c r="AE19" t="inlineStr">
        <is>
          <t>Temp endcap</t>
        </is>
      </c>
    </row>
    <row r="20">
      <c r="AE20" t="inlineStr">
        <is>
          <t>Lash endcap</t>
        </is>
      </c>
    </row>
    <row r="21">
      <c r="AE21" t="inlineStr">
        <is>
          <t>Gift set fixture</t>
        </is>
      </c>
    </row>
    <row r="22">
      <c r="AE22" t="inlineStr">
        <is>
          <t>Gift set endcap</t>
        </is>
      </c>
    </row>
    <row r="23">
      <c r="AE23" t="inlineStr">
        <is>
          <t>Shelves</t>
        </is>
      </c>
    </row>
    <row r="24">
      <c r="AE24" t="inlineStr">
        <is>
          <t>Combination</t>
        </is>
      </c>
    </row>
    <row r="25">
      <c r="AE25" t="inlineStr">
        <is>
          <t>Not listed</t>
        </is>
      </c>
    </row>
  </sheetData>
  <pageMargins left="0.75" right="0.75" top="1" bottom="1" header="0.5" footer="0.5"/>
  <tableParts count="3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2026-10-29T18:53:59Z</dcterms:created>
  <dcterms:modified xmlns:dcterms="http://purl.org/dc/terms/" xmlns:xsi="http://www.w3.org/2001/XMLSchema-instance" xsi:type="dcterms:W3CDTF">2026-10-29T18:53:59Z</dcterms:modified>
</cp:coreProperties>
</file>